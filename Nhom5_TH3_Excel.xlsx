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420" firstSheet="1" activeTab="2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 7" sheetId="6" r:id="rId6"/>
    <sheet name="Sinh viên điểm &gt;= 7" sheetId="7" r:id="rId7"/>
  </sheets>
  <calcPr calcId="152511"/>
</workbook>
</file>

<file path=xl/calcChain.xml><?xml version="1.0" encoding="utf-8"?>
<calcChain xmlns="http://schemas.openxmlformats.org/spreadsheetml/2006/main">
  <c r="B8" i="7" l="1"/>
  <c r="B7" i="7"/>
  <c r="B6" i="7"/>
  <c r="B5" i="7"/>
  <c r="B4" i="7"/>
  <c r="B12" i="6"/>
  <c r="B11" i="6"/>
  <c r="B10" i="6"/>
  <c r="B9" i="6"/>
  <c r="B8" i="6"/>
  <c r="B7" i="6"/>
  <c r="B6" i="6"/>
  <c r="B5" i="6"/>
  <c r="B4" i="6"/>
  <c r="F27" i="5"/>
  <c r="H20" i="1"/>
  <c r="H12" i="6" s="1"/>
  <c r="G20" i="1"/>
  <c r="G12" i="6" s="1"/>
  <c r="F20" i="1"/>
  <c r="F12" i="6" s="1"/>
  <c r="E20" i="1"/>
  <c r="E12" i="6" s="1"/>
  <c r="D20" i="1"/>
  <c r="D12" i="6" s="1"/>
  <c r="C20" i="1"/>
  <c r="C12" i="6" s="1"/>
  <c r="H19" i="1"/>
  <c r="I19" i="1" s="1"/>
  <c r="I11" i="6" s="1"/>
  <c r="G19" i="1"/>
  <c r="G11" i="6" s="1"/>
  <c r="F19" i="1"/>
  <c r="F11" i="6" s="1"/>
  <c r="E19" i="1"/>
  <c r="E11" i="6" s="1"/>
  <c r="D19" i="1"/>
  <c r="D11" i="6" s="1"/>
  <c r="C19" i="1"/>
  <c r="C11" i="6" s="1"/>
  <c r="H18" i="1"/>
  <c r="H8" i="7" s="1"/>
  <c r="G18" i="1"/>
  <c r="G8" i="7" s="1"/>
  <c r="F18" i="1"/>
  <c r="F8" i="7" s="1"/>
  <c r="E18" i="1"/>
  <c r="E8" i="7" s="1"/>
  <c r="D18" i="1"/>
  <c r="D8" i="7" s="1"/>
  <c r="C18" i="1"/>
  <c r="C8" i="7" s="1"/>
  <c r="H17" i="1"/>
  <c r="H10" i="6" s="1"/>
  <c r="G17" i="1"/>
  <c r="G10" i="6" s="1"/>
  <c r="F17" i="1"/>
  <c r="F10" i="6" s="1"/>
  <c r="E17" i="1"/>
  <c r="E10" i="6" s="1"/>
  <c r="D17" i="1"/>
  <c r="D10" i="6" s="1"/>
  <c r="C17" i="1"/>
  <c r="C10" i="6" s="1"/>
  <c r="H16" i="1"/>
  <c r="I16" i="1" s="1"/>
  <c r="I7" i="7" s="1"/>
  <c r="G16" i="1"/>
  <c r="J16" i="1" s="1"/>
  <c r="F16" i="1"/>
  <c r="F7" i="7" s="1"/>
  <c r="E16" i="1"/>
  <c r="E7" i="7" s="1"/>
  <c r="D16" i="1"/>
  <c r="D7" i="7" s="1"/>
  <c r="C16" i="1"/>
  <c r="C7" i="7" s="1"/>
  <c r="H15" i="1"/>
  <c r="H9" i="6" s="1"/>
  <c r="G15" i="1"/>
  <c r="G9" i="6" s="1"/>
  <c r="F15" i="1"/>
  <c r="F9" i="6" s="1"/>
  <c r="E15" i="1"/>
  <c r="E9" i="6" s="1"/>
  <c r="D15" i="1"/>
  <c r="D9" i="6" s="1"/>
  <c r="C15" i="1"/>
  <c r="C9" i="6" s="1"/>
  <c r="H14" i="1"/>
  <c r="H6" i="7" s="1"/>
  <c r="G14" i="1"/>
  <c r="G6" i="7" s="1"/>
  <c r="F14" i="1"/>
  <c r="F6" i="7" s="1"/>
  <c r="E14" i="1"/>
  <c r="E6" i="7" s="1"/>
  <c r="D14" i="1"/>
  <c r="D6" i="7" s="1"/>
  <c r="C14" i="1"/>
  <c r="C6" i="7" s="1"/>
  <c r="H13" i="1"/>
  <c r="H5" i="7" s="1"/>
  <c r="G13" i="1"/>
  <c r="G5" i="7" s="1"/>
  <c r="F13" i="1"/>
  <c r="F5" i="7" s="1"/>
  <c r="E13" i="1"/>
  <c r="E5" i="7" s="1"/>
  <c r="D13" i="1"/>
  <c r="D5" i="7" s="1"/>
  <c r="C13" i="1"/>
  <c r="C5" i="7" s="1"/>
  <c r="H12" i="1"/>
  <c r="I12" i="1" s="1"/>
  <c r="I4" i="7" s="1"/>
  <c r="G12" i="1"/>
  <c r="F12" i="1"/>
  <c r="F4" i="7" s="1"/>
  <c r="E12" i="1"/>
  <c r="E4" i="7" s="1"/>
  <c r="D12" i="1"/>
  <c r="D4" i="7" s="1"/>
  <c r="C12" i="1"/>
  <c r="C4" i="7" s="1"/>
  <c r="H11" i="1"/>
  <c r="I11" i="1" s="1"/>
  <c r="G11" i="1"/>
  <c r="G8" i="6" s="1"/>
  <c r="F11" i="1"/>
  <c r="F8" i="6" s="1"/>
  <c r="E11" i="1"/>
  <c r="E8" i="6" s="1"/>
  <c r="D11" i="1"/>
  <c r="D8" i="6" s="1"/>
  <c r="C11" i="1"/>
  <c r="C8" i="6" s="1"/>
  <c r="H10" i="1"/>
  <c r="H7" i="6" s="1"/>
  <c r="G10" i="1"/>
  <c r="G7" i="6" s="1"/>
  <c r="F10" i="1"/>
  <c r="F7" i="6" s="1"/>
  <c r="E10" i="1"/>
  <c r="E7" i="6" s="1"/>
  <c r="D10" i="1"/>
  <c r="D7" i="6" s="1"/>
  <c r="C10" i="1"/>
  <c r="C7" i="6" s="1"/>
  <c r="H9" i="1"/>
  <c r="H6" i="6" s="1"/>
  <c r="G9" i="1"/>
  <c r="G6" i="6" s="1"/>
  <c r="F9" i="1"/>
  <c r="F6" i="6" s="1"/>
  <c r="E9" i="1"/>
  <c r="E6" i="6" s="1"/>
  <c r="D9" i="1"/>
  <c r="D6" i="6" s="1"/>
  <c r="C9" i="1"/>
  <c r="C6" i="6" s="1"/>
  <c r="H8" i="1"/>
  <c r="I8" i="1" s="1"/>
  <c r="I5" i="6" s="1"/>
  <c r="G8" i="1"/>
  <c r="J8" i="1" s="1"/>
  <c r="F8" i="1"/>
  <c r="F5" i="6" s="1"/>
  <c r="E8" i="1"/>
  <c r="E5" i="6" s="1"/>
  <c r="D8" i="1"/>
  <c r="D5" i="6" s="1"/>
  <c r="C8" i="1"/>
  <c r="C5" i="6" s="1"/>
  <c r="H7" i="1"/>
  <c r="H4" i="6" s="1"/>
  <c r="G7" i="1"/>
  <c r="G4" i="6" s="1"/>
  <c r="F7" i="1"/>
  <c r="F4" i="6" s="1"/>
  <c r="E7" i="1"/>
  <c r="E4" i="6" s="1"/>
  <c r="D7" i="1"/>
  <c r="D4" i="6" s="1"/>
  <c r="C7" i="1"/>
  <c r="C4" i="6" s="1"/>
  <c r="J5" i="6" l="1"/>
  <c r="K8" i="1"/>
  <c r="K5" i="6" s="1"/>
  <c r="J11" i="1"/>
  <c r="I8" i="6"/>
  <c r="K16" i="1"/>
  <c r="K7" i="7" s="1"/>
  <c r="J7" i="7"/>
  <c r="J12" i="1"/>
  <c r="H11" i="6"/>
  <c r="G7" i="7"/>
  <c r="F24" i="5"/>
  <c r="H8" i="6"/>
  <c r="H7" i="7"/>
  <c r="G5" i="6"/>
  <c r="G4" i="7"/>
  <c r="I13" i="1"/>
  <c r="J17" i="1"/>
  <c r="I7" i="1"/>
  <c r="I4" i="6" s="1"/>
  <c r="H5" i="6"/>
  <c r="H4" i="7"/>
  <c r="I15" i="1"/>
  <c r="I9" i="6" s="1"/>
  <c r="I17" i="1"/>
  <c r="I10" i="6" s="1"/>
  <c r="I14" i="1"/>
  <c r="I6" i="7" s="1"/>
  <c r="J15" i="1"/>
  <c r="I10" i="1"/>
  <c r="I7" i="6" s="1"/>
  <c r="J10" i="1"/>
  <c r="J19" i="1"/>
  <c r="J14" i="1"/>
  <c r="J7" i="1"/>
  <c r="I9" i="1"/>
  <c r="I6" i="6" s="1"/>
  <c r="I18" i="1"/>
  <c r="I8" i="7" s="1"/>
  <c r="J18" i="1"/>
  <c r="I20" i="1"/>
  <c r="I12" i="6" s="1"/>
  <c r="J20" i="1"/>
  <c r="J8" i="7" l="1"/>
  <c r="K18" i="1"/>
  <c r="K8" i="7" s="1"/>
  <c r="J4" i="7"/>
  <c r="K12" i="1"/>
  <c r="K4" i="7" s="1"/>
  <c r="J8" i="6"/>
  <c r="K11" i="1"/>
  <c r="K8" i="6" s="1"/>
  <c r="J10" i="6"/>
  <c r="K17" i="1"/>
  <c r="K10" i="6" s="1"/>
  <c r="J4" i="6"/>
  <c r="K7" i="1"/>
  <c r="K19" i="1"/>
  <c r="K11" i="6" s="1"/>
  <c r="J11" i="6"/>
  <c r="I5" i="7"/>
  <c r="J13" i="1"/>
  <c r="J9" i="1"/>
  <c r="J6" i="7"/>
  <c r="K14" i="1"/>
  <c r="K6" i="7" s="1"/>
  <c r="J7" i="6"/>
  <c r="K10" i="1"/>
  <c r="K7" i="6" s="1"/>
  <c r="J9" i="6"/>
  <c r="K15" i="1"/>
  <c r="K9" i="6" s="1"/>
  <c r="J12" i="6"/>
  <c r="K20" i="1"/>
  <c r="K12" i="6" s="1"/>
  <c r="K13" i="1" l="1"/>
  <c r="K5" i="7" s="1"/>
  <c r="J5" i="7"/>
  <c r="K9" i="1"/>
  <c r="K6" i="6" s="1"/>
  <c r="J6" i="6"/>
  <c r="K4" i="6"/>
  <c r="F21" i="5" l="1"/>
  <c r="F15" i="5"/>
  <c r="F17" i="5"/>
  <c r="F18" i="5"/>
  <c r="F20" i="5"/>
  <c r="F14" i="5"/>
  <c r="F16" i="5"/>
  <c r="F19" i="5"/>
</calcChain>
</file>

<file path=xl/sharedStrings.xml><?xml version="1.0" encoding="utf-8"?>
<sst xmlns="http://schemas.openxmlformats.org/spreadsheetml/2006/main" count="224" uniqueCount="93">
  <si>
    <t>ĐIỂM THI HK1-2018-2019 (CT428)</t>
  </si>
  <si>
    <t>Ma CB</t>
  </si>
  <si>
    <t>1043</t>
  </si>
  <si>
    <t>Ho va ten</t>
  </si>
  <si>
    <t>Nguyen Minh Trung</t>
  </si>
  <si>
    <t>Ma MH</t>
  </si>
  <si>
    <t>CT428</t>
  </si>
  <si>
    <t>Ma NH</t>
  </si>
  <si>
    <t>8</t>
  </si>
  <si>
    <t>Nam hoc</t>
  </si>
  <si>
    <t>2020-2021</t>
  </si>
  <si>
    <t>Hoc ky</t>
  </si>
  <si>
    <t>1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</si>
  <si>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</si>
  <si>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</si>
  <si>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</si>
  <si>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</si>
  <si>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</si>
  <si>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</si>
  <si>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</si>
  <si>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</si>
  <si>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</si>
  <si>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</si>
  <si>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</si>
  <si>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</si>
  <si>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</si>
  <si>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</si>
  <si>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</si>
  <si>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</si>
  <si>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</si>
  <si>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</si>
  <si>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</si>
  <si>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</si>
  <si>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</si>
  <si>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</si>
  <si>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</si>
  <si>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</si>
  <si>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</si>
  <si>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</si>
  <si>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</si>
  <si>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</si>
  <si>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</si>
  <si>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</si>
  <si>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</si>
  <si>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</si>
  <si>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</si>
  <si>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</si>
  <si>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</si>
  <si>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</si>
  <si>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</si>
  <si>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</si>
  <si>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</si>
  <si>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</si>
  <si>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</si>
  <si>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</si>
  <si>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</si>
  <si>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</si>
  <si>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</si>
  <si>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</si>
  <si>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</si>
  <si>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</si>
  <si>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</si>
  <si>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</si>
  <si>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</si>
  <si>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</si>
  <si>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</si>
  <si>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</si>
  <si>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</si>
  <si>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</si>
  <si>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</si>
  <si>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</si>
  <si>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Nguyễn Phước Hiếu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</si>
  <si>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</si>
  <si>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</si>
  <si>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</si>
  <si>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</si>
  <si>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</si>
  <si>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</si>
  <si>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</si>
  <si>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</si>
  <si>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</si>
  <si>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</si>
  <si>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</si>
  <si>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</si>
  <si>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</si>
  <si>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</si>
  <si>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</si>
  <si>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</si>
  <si>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</si>
  <si>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</si>
  <si>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</si>
  <si>
    <t>Danh sách sinh viên có điểm &lt; 7</t>
  </si>
  <si>
    <t>Danh sách sinh viên có điểm &gt;= 7 (Điểm chữ B+ hoặc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</si>
</sst>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ECFF"/>
        <bgColor rgb="FFCCECFF"/>
      </patternFill>
    </fill>
    <fill>
      <patternFill patternType="solid">
        <fgColor rgb="FFFFD8B5"/>
        <bgColor rgb="FFFFD8B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/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2" fillId="5" borderId="2" xfId="0" applyFont="1" applyFill="1" applyBorder="1"/>
    <xf numFmtId="0" fontId="3" fillId="0" borderId="2" xfId="0" applyFont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5" borderId="3" xfId="0" applyFill="1" applyBorder="1"/>
    <xf numFmtId="0" fontId="2" fillId="5" borderId="3" xfId="0" applyFont="1" applyFill="1" applyBorder="1"/>
    <xf numFmtId="0" fontId="0" fillId="0" borderId="3" xfId="0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5" borderId="5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5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u="none" strike="noStrike">
                <a:effectLst/>
              </a:rPr>
              <a:t>Thống kê tổng số lượng Sinh viên theo điểm chữ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74321959755032"/>
          <c:y val="0.14398148148148149"/>
          <c:w val="0.40562467191601048"/>
          <c:h val="0.67604111986001747"/>
        </c:manualLayout>
      </c:layout>
      <c:pie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9</xdr:row>
      <xdr:rowOff>9525</xdr:rowOff>
    </xdr:from>
    <xdr:to>
      <xdr:col>15</xdr:col>
      <xdr:colOff>561974</xdr:colOff>
      <xdr:row>24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xSplit="3" ySplit="6" topLeftCell="D7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14.42578125" customWidth="1"/>
    <col min="2" max="2" width="12" customWidth="1"/>
    <col min="3" max="3" width="28.5703125" customWidth="1"/>
    <col min="4" max="4" width="22.85546875" customWidth="1"/>
    <col min="5" max="5" width="20.7109375" customWidth="1"/>
    <col min="6" max="6" width="22.140625" customWidth="1"/>
    <col min="7" max="7" width="17.7109375" customWidth="1"/>
    <col min="8" max="8" width="19.42578125" customWidth="1"/>
    <col min="9" max="9" width="19.7109375" customWidth="1"/>
    <col min="10" max="10" width="27.85546875" customWidth="1"/>
    <col min="11" max="11" width="16.5703125" customWidth="1"/>
  </cols>
  <sheetData>
    <row r="1" spans="1:11" x14ac:dyDescent="0.25">
      <c r="A1" s="8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B2" s="1" t="s">
        <v>1</v>
      </c>
      <c r="C2" s="2" t="s">
        <v>2</v>
      </c>
      <c r="E2" s="1" t="s">
        <v>3</v>
      </c>
      <c r="F2" s="2" t="s">
        <v>4</v>
      </c>
    </row>
    <row r="3" spans="1:11" x14ac:dyDescent="0.25">
      <c r="B3" s="1" t="s">
        <v>5</v>
      </c>
      <c r="C3" s="2" t="s">
        <v>6</v>
      </c>
      <c r="E3" s="1" t="s">
        <v>7</v>
      </c>
      <c r="F3" s="2" t="s">
        <v>8</v>
      </c>
    </row>
    <row r="4" spans="1:11" x14ac:dyDescent="0.25">
      <c r="B4" s="1" t="s">
        <v>9</v>
      </c>
      <c r="C4" s="2" t="s">
        <v>10</v>
      </c>
      <c r="E4" s="1" t="s">
        <v>11</v>
      </c>
      <c r="F4" s="2" t="s">
        <v>12</v>
      </c>
    </row>
    <row r="6" spans="1:11" x14ac:dyDescent="0.25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</row>
    <row r="7" spans="1:11" x14ac:dyDescent="0.25">
      <c r="A7" s="4">
        <v>1</v>
      </c>
      <c r="B7" s="4" t="s">
        <v>24</v>
      </c>
      <c r="C7" s="5" t="str">
        <f>VLOOKUP(RIGHT(B7,8),'Các bảng tham chiếu &amp; Thống kê'!$B$14:$C$27,2,FALSE)</f>
        <v>Nguyễn Văn Hiếu</v>
      </c>
      <c r="D7" s="4">
        <f>VLOOKUP(RIGHT(B7,8),'Điểm thực hành các buổi'!$B$3:$F$16,3,FALSE)</f>
        <v>0.45</v>
      </c>
      <c r="E7" s="4">
        <f>VLOOKUP(RIGHT(B7,8),'Điểm thực hành các buổi'!$B$3:$F$16,4,FALSE)</f>
        <v>0.25</v>
      </c>
      <c r="F7" s="4">
        <f>VLOOKUP(RIGHT(B7,8),'Điểm thực hành các buổi'!$B$3:$F$16,5,FALSE)</f>
        <v>0.3</v>
      </c>
      <c r="G7" s="4">
        <f>VLOOKUP(RIGHT(B7,8),'Điểm bài tập lớn'!$B$3:$D$16,3,FALSE)</f>
        <v>0.5</v>
      </c>
      <c r="H7" s="4">
        <f>VLOOKUP(RIGHT(B7,8),'Điểm lý thuyết'!$B$3:$D$16,3,FALSE)</f>
        <v>4.2</v>
      </c>
      <c r="I7" s="4">
        <f t="shared" ref="I7:I20" si="0">ROUND(IF(H7=-3,0,D7+E7+F7+G7+0.6*H7),1)</f>
        <v>4</v>
      </c>
      <c r="J7" s="4">
        <f>ROUND(IF(OR(G7=0,VALUE(LEFT(B7,1))&gt;2),0,I7+VLOOKUP(VALUE(LEFT(B7,1)),'Các bảng tham chiếu &amp; Thống kê'!$E$3:$F$5,2,FALSE)),1)</f>
        <v>5</v>
      </c>
      <c r="K7" s="4" t="str">
        <f>VLOOKUP(J7,'Các bảng tham chiếu &amp; Thống kê'!$A$3:$B$10,2,TRUE)</f>
        <v>D+</v>
      </c>
    </row>
    <row r="8" spans="1:11" x14ac:dyDescent="0.25">
      <c r="A8" s="4">
        <v>2</v>
      </c>
      <c r="B8" s="4" t="s">
        <v>25</v>
      </c>
      <c r="C8" s="5" t="str">
        <f>VLOOKUP(RIGHT(B8,8),'Các bảng tham chiếu &amp; Thống kê'!$B$14:$C$27,2,FALSE)</f>
        <v>Lý Minh Trí</v>
      </c>
      <c r="D8" s="4">
        <f>VLOOKUP(RIGHT(B8,8),'Điểm thực hành các buổi'!$B$3:$F$16,3,FALSE)</f>
        <v>0.5</v>
      </c>
      <c r="E8" s="4">
        <f>VLOOKUP(RIGHT(B8,8),'Điểm thực hành các buổi'!$B$3:$F$16,4,FALSE)</f>
        <v>0.35</v>
      </c>
      <c r="F8" s="4">
        <f>VLOOKUP(RIGHT(B8,8),'Điểm thực hành các buổi'!$B$3:$F$16,5,FALSE)</f>
        <v>0.4</v>
      </c>
      <c r="G8" s="4">
        <f>VLOOKUP(RIGHT(B8,8),'Điểm bài tập lớn'!$B$3:$D$16,3,FALSE)</f>
        <v>1</v>
      </c>
      <c r="H8" s="4">
        <f>VLOOKUP(RIGHT(B8,8),'Điểm lý thuyết'!$B$3:$D$16,3,FALSE)</f>
        <v>5.8</v>
      </c>
      <c r="I8" s="4">
        <f t="shared" si="0"/>
        <v>5.7</v>
      </c>
      <c r="J8" s="4">
        <f>ROUND(IF(OR(G8=0,VALUE(LEFT(B8,1))&gt;2),0,I8+VLOOKUP(VALUE(LEFT(B8,1)),'Các bảng tham chiếu &amp; Thống kê'!$E$3:$F$5,2,FALSE)),1)</f>
        <v>6.2</v>
      </c>
      <c r="K8" s="4" t="str">
        <f>VLOOKUP(J8,'Các bảng tham chiếu &amp; Thống kê'!$A$3:$B$10,2,TRUE)</f>
        <v>C</v>
      </c>
    </row>
    <row r="9" spans="1:11" x14ac:dyDescent="0.25">
      <c r="A9" s="4">
        <v>3</v>
      </c>
      <c r="B9" s="4" t="s">
        <v>26</v>
      </c>
      <c r="C9" s="5" t="str">
        <f>VLOOKUP(RIGHT(B9,8),'Các bảng tham chiếu &amp; Thống kê'!$B$14:$C$27,2,FALSE)</f>
        <v>Nguyễn Kiều Mi</v>
      </c>
      <c r="D9" s="4">
        <f>VLOOKUP(RIGHT(B9,8),'Điểm thực hành các buổi'!$B$3:$F$16,3,FALSE)</f>
        <v>0.25</v>
      </c>
      <c r="E9" s="4">
        <f>VLOOKUP(RIGHT(B9,8),'Điểm thực hành các buổi'!$B$3:$F$16,4,FALSE)</f>
        <v>0.25</v>
      </c>
      <c r="F9" s="4">
        <f>VLOOKUP(RIGHT(B9,8),'Điểm thực hành các buổi'!$B$3:$F$16,5,FALSE)</f>
        <v>0.3</v>
      </c>
      <c r="G9" s="4">
        <f>VLOOKUP(RIGHT(B9,8),'Điểm bài tập lớn'!$B$3:$D$16,3,FALSE)</f>
        <v>0.5</v>
      </c>
      <c r="H9" s="4">
        <f>VLOOKUP(RIGHT(B9,8),'Điểm lý thuyết'!$B$3:$D$16,3,FALSE)</f>
        <v>5.8</v>
      </c>
      <c r="I9" s="4">
        <f t="shared" si="0"/>
        <v>4.8</v>
      </c>
      <c r="J9" s="4">
        <f>ROUND(IF(OR(G9=0,VALUE(LEFT(B9,1))&gt;2),0,I9+VLOOKUP(VALUE(LEFT(B9,1)),'Các bảng tham chiếu &amp; Thống kê'!$E$3:$F$5,2,FALSE)),1)</f>
        <v>5.8</v>
      </c>
      <c r="K9" s="4" t="str">
        <f>VLOOKUP(J9,'Các bảng tham chiếu &amp; Thống kê'!$A$3:$B$10,2,TRUE)</f>
        <v>C</v>
      </c>
    </row>
    <row r="10" spans="1:11" x14ac:dyDescent="0.25">
      <c r="A10" s="4">
        <v>4</v>
      </c>
      <c r="B10" s="4" t="s">
        <v>27</v>
      </c>
      <c r="C10" s="5" t="str">
        <f>VLOOKUP(RIGHT(B10,8),'Các bảng tham chiếu &amp; Thống kê'!$B$14:$C$27,2,FALSE)</f>
        <v>Đặng Duy Linh</v>
      </c>
      <c r="D10" s="4">
        <f>VLOOKUP(RIGHT(B10,8),'Điểm thực hành các buổi'!$B$3:$F$16,3,FALSE)</f>
        <v>0.4</v>
      </c>
      <c r="E10" s="4">
        <f>VLOOKUP(RIGHT(B10,8),'Điểm thực hành các buổi'!$B$3:$F$16,4,FALSE)</f>
        <v>0.25</v>
      </c>
      <c r="F10" s="4">
        <f>VLOOKUP(RIGHT(B10,8),'Điểm thực hành các buổi'!$B$3:$F$16,5,FALSE)</f>
        <v>0.35</v>
      </c>
      <c r="G10" s="4">
        <f>VLOOKUP(RIGHT(B10,8),'Điểm bài tập lớn'!$B$3:$D$16,3,FALSE)</f>
        <v>1</v>
      </c>
      <c r="H10" s="4">
        <f>VLOOKUP(RIGHT(B10,8),'Điểm lý thuyết'!$B$3:$D$16,3,FALSE)</f>
        <v>4.5</v>
      </c>
      <c r="I10" s="4">
        <f t="shared" si="0"/>
        <v>4.7</v>
      </c>
      <c r="J10" s="4">
        <f>ROUND(IF(OR(G10=0,VALUE(LEFT(B10,1))&gt;2),0,I10+VLOOKUP(VALUE(LEFT(B10,1)),'Các bảng tham chiếu &amp; Thống kê'!$E$3:$F$5,2,FALSE)),1)</f>
        <v>5.7</v>
      </c>
      <c r="K10" s="4" t="str">
        <f>VLOOKUP(J10,'Các bảng tham chiếu &amp; Thống kê'!$A$3:$B$10,2,TRUE)</f>
        <v>C</v>
      </c>
    </row>
    <row r="11" spans="1:11" x14ac:dyDescent="0.25">
      <c r="A11" s="4">
        <v>5</v>
      </c>
      <c r="B11" s="4" t="s">
        <v>28</v>
      </c>
      <c r="C11" s="5" t="str">
        <f>VLOOKUP(RIGHT(B11,8),'Các bảng tham chiếu &amp; Thống kê'!$B$14:$C$27,2,FALSE)</f>
        <v>Lê Thị Trúc Linh</v>
      </c>
      <c r="D11" s="4">
        <f>VLOOKUP(RIGHT(B11,8),'Điểm thực hành các buổi'!$B$3:$F$16,3,FALSE)</f>
        <v>0.45</v>
      </c>
      <c r="E11" s="4">
        <f>VLOOKUP(RIGHT(B11,8),'Điểm thực hành các buổi'!$B$3:$F$16,4,FALSE)</f>
        <v>0.4</v>
      </c>
      <c r="F11" s="4">
        <f>VLOOKUP(RIGHT(B11,8),'Điểm thực hành các buổi'!$B$3:$F$16,5,FALSE)</f>
        <v>0.35</v>
      </c>
      <c r="G11" s="4">
        <f>VLOOKUP(RIGHT(B11,8),'Điểm bài tập lớn'!$B$3:$D$16,3,FALSE)</f>
        <v>0.75</v>
      </c>
      <c r="H11" s="4">
        <f>VLOOKUP(RIGHT(B11,8),'Điểm lý thuyết'!$B$3:$D$16,3,FALSE)</f>
        <v>5.5</v>
      </c>
      <c r="I11" s="4">
        <f t="shared" si="0"/>
        <v>5.3</v>
      </c>
      <c r="J11" s="4">
        <f>ROUND(IF(OR(G11=0,VALUE(LEFT(B11,1))&gt;2),0,I11+VLOOKUP(VALUE(LEFT(B11,1)),'Các bảng tham chiếu &amp; Thống kê'!$E$3:$F$5,2,FALSE)),1)</f>
        <v>5.6</v>
      </c>
      <c r="K11" s="4" t="str">
        <f>VLOOKUP(J11,'Các bảng tham chiếu &amp; Thống kê'!$A$3:$B$10,2,TRUE)</f>
        <v>C</v>
      </c>
    </row>
    <row r="12" spans="1:11" x14ac:dyDescent="0.25">
      <c r="A12" s="4">
        <v>6</v>
      </c>
      <c r="B12" s="4" t="s">
        <v>29</v>
      </c>
      <c r="C12" s="5" t="str">
        <f>VLOOKUP(RIGHT(B12,8),'Các bảng tham chiếu &amp; Thống kê'!$B$14:$C$27,2,FALSE)</f>
        <v>Phạm Thị Huỳnh</v>
      </c>
      <c r="D12" s="4">
        <f>VLOOKUP(RIGHT(B12,8),'Điểm thực hành các buổi'!$B$3:$F$16,3,FALSE)</f>
        <v>0.4</v>
      </c>
      <c r="E12" s="4">
        <f>VLOOKUP(RIGHT(B12,8),'Điểm thực hành các buổi'!$B$3:$F$16,4,FALSE)</f>
        <v>0.45</v>
      </c>
      <c r="F12" s="4">
        <f>VLOOKUP(RIGHT(B12,8),'Điểm thực hành các buổi'!$B$3:$F$16,5,FALSE)</f>
        <v>0.5</v>
      </c>
      <c r="G12" s="4">
        <f>VLOOKUP(RIGHT(B12,8),'Điểm bài tập lớn'!$B$3:$D$16,3,FALSE)</f>
        <v>1.2</v>
      </c>
      <c r="H12" s="4">
        <f>VLOOKUP(RIGHT(B12,8),'Điểm lý thuyết'!$B$3:$D$16,3,FALSE)</f>
        <v>7.5</v>
      </c>
      <c r="I12" s="4">
        <f t="shared" si="0"/>
        <v>7.1</v>
      </c>
      <c r="J12" s="4">
        <f>ROUND(IF(OR(G12=0,VALUE(LEFT(B12,1))&gt;2),0,I12+VLOOKUP(VALUE(LEFT(B12,1)),'Các bảng tham chiếu &amp; Thống kê'!$E$3:$F$5,2,FALSE)),1)</f>
        <v>8.1</v>
      </c>
      <c r="K12" s="4" t="str">
        <f>VLOOKUP(J12,'Các bảng tham chiếu &amp; Thống kê'!$A$3:$B$10,2,TRUE)</f>
        <v>B+</v>
      </c>
    </row>
    <row r="13" spans="1:11" x14ac:dyDescent="0.25">
      <c r="A13" s="4">
        <v>7</v>
      </c>
      <c r="B13" s="4" t="s">
        <v>30</v>
      </c>
      <c r="C13" s="5" t="str">
        <f>VLOOKUP(RIGHT(B13,8),'Các bảng tham chiếu &amp; Thống kê'!$B$14:$C$27,2,FALSE)</f>
        <v>Lê Minh Thông</v>
      </c>
      <c r="D13" s="4">
        <f>VLOOKUP(RIGHT(B13,8),'Điểm thực hành các buổi'!$B$3:$F$16,3,FALSE)</f>
        <v>0.4</v>
      </c>
      <c r="E13" s="4">
        <f>VLOOKUP(RIGHT(B13,8),'Điểm thực hành các buổi'!$B$3:$F$16,4,FALSE)</f>
        <v>0.4</v>
      </c>
      <c r="F13" s="4">
        <f>VLOOKUP(RIGHT(B13,8),'Điểm thực hành các buổi'!$B$3:$F$16,5,FALSE)</f>
        <v>0.4</v>
      </c>
      <c r="G13" s="4">
        <f>VLOOKUP(RIGHT(B13,8),'Điểm bài tập lớn'!$B$3:$D$16,3,FALSE)</f>
        <v>1</v>
      </c>
      <c r="H13" s="4">
        <f>VLOOKUP(RIGHT(B13,8),'Điểm lý thuyết'!$B$3:$D$16,3,FALSE)</f>
        <v>5.3</v>
      </c>
      <c r="I13" s="4">
        <f t="shared" si="0"/>
        <v>5.4</v>
      </c>
      <c r="J13" s="4">
        <f>ROUND(IF(OR(G13=0,VALUE(LEFT(B13,1))&gt;2),0,I13+VLOOKUP(VALUE(LEFT(B13,1)),'Các bảng tham chiếu &amp; Thống kê'!$E$3:$F$5,2,FALSE)),1)</f>
        <v>6.4</v>
      </c>
      <c r="K13" s="4" t="str">
        <f>VLOOKUP(J13,'Các bảng tham chiếu &amp; Thống kê'!$A$3:$B$10,2,TRUE)</f>
        <v>C</v>
      </c>
    </row>
    <row r="14" spans="1:11" x14ac:dyDescent="0.25">
      <c r="A14" s="4">
        <v>8</v>
      </c>
      <c r="B14" s="4" t="s">
        <v>31</v>
      </c>
      <c r="C14" s="5" t="str">
        <f>VLOOKUP(RIGHT(B14,8),'Các bảng tham chiếu &amp; Thống kê'!$B$14:$C$27,2,FALSE)</f>
        <v>Huỳnh Thị Diễm</v>
      </c>
      <c r="D14" s="4">
        <f>VLOOKUP(RIGHT(B14,8),'Điểm thực hành các buổi'!$B$3:$F$16,3,FALSE)</f>
        <v>0.45</v>
      </c>
      <c r="E14" s="4">
        <f>VLOOKUP(RIGHT(B14,8),'Điểm thực hành các buổi'!$B$3:$F$16,4,FALSE)</f>
        <v>0.4</v>
      </c>
      <c r="F14" s="4">
        <f>VLOOKUP(RIGHT(B14,8),'Điểm thực hành các buổi'!$B$3:$F$16,5,FALSE)</f>
        <v>0.45</v>
      </c>
      <c r="G14" s="4">
        <f>VLOOKUP(RIGHT(B14,8),'Điểm bài tập lớn'!$B$3:$D$16,3,FALSE)</f>
        <v>0</v>
      </c>
      <c r="H14" s="4">
        <f>VLOOKUP(RIGHT(B14,8),'Điểm lý thuyết'!$B$3:$D$16,3,FALSE)</f>
        <v>6.8</v>
      </c>
      <c r="I14" s="4">
        <f t="shared" si="0"/>
        <v>5.4</v>
      </c>
      <c r="J14" s="4">
        <f>ROUND(IF(OR(G14=0,VALUE(LEFT(B14,1))&gt;2),0,I14+VLOOKUP(VALUE(LEFT(B14,1)),'Các bảng tham chiếu &amp; Thống kê'!$E$3:$F$5,2,FALSE)),1)</f>
        <v>0</v>
      </c>
      <c r="K14" s="4" t="str">
        <f>VLOOKUP(J14,'Các bảng tham chiếu &amp; Thống kê'!$A$3:$B$10,2,TRUE)</f>
        <v>F</v>
      </c>
    </row>
    <row r="15" spans="1:11" x14ac:dyDescent="0.25">
      <c r="A15" s="4">
        <v>9</v>
      </c>
      <c r="B15" s="4" t="s">
        <v>32</v>
      </c>
      <c r="C15" s="5" t="str">
        <f>VLOOKUP(RIGHT(B15,8),'Các bảng tham chiếu &amp; Thống kê'!$B$14:$C$27,2,FALSE)</f>
        <v>Trần Thanh Nguyên</v>
      </c>
      <c r="D15" s="4">
        <f>VLOOKUP(RIGHT(B15,8),'Điểm thực hành các buổi'!$B$3:$F$16,3,FALSE)</f>
        <v>0.45</v>
      </c>
      <c r="E15" s="4">
        <f>VLOOKUP(RIGHT(B15,8),'Điểm thực hành các buổi'!$B$3:$F$16,4,FALSE)</f>
        <v>0.4</v>
      </c>
      <c r="F15" s="4">
        <f>VLOOKUP(RIGHT(B15,8),'Điểm thực hành các buổi'!$B$3:$F$16,5,FALSE)</f>
        <v>0.4</v>
      </c>
      <c r="G15" s="4">
        <f>VLOOKUP(RIGHT(B15,8),'Điểm bài tập lớn'!$B$3:$D$16,3,FALSE)</f>
        <v>0.75</v>
      </c>
      <c r="H15" s="4">
        <f>VLOOKUP(RIGHT(B15,8),'Điểm lý thuyết'!$B$3:$D$16,3,FALSE)</f>
        <v>6.3</v>
      </c>
      <c r="I15" s="4">
        <f t="shared" si="0"/>
        <v>5.8</v>
      </c>
      <c r="J15" s="4">
        <f>ROUND(IF(OR(G15=0,VALUE(LEFT(B15,1))&gt;2),0,I15+VLOOKUP(VALUE(LEFT(B15,1)),'Các bảng tham chiếu &amp; Thống kê'!$E$3:$F$5,2,FALSE)),1)</f>
        <v>6.8</v>
      </c>
      <c r="K15" s="4" t="str">
        <f>VLOOKUP(J15,'Các bảng tham chiếu &amp; Thống kê'!$A$3:$B$10,2,TRUE)</f>
        <v>C+</v>
      </c>
    </row>
    <row r="16" spans="1:11" x14ac:dyDescent="0.25">
      <c r="A16" s="4">
        <v>10</v>
      </c>
      <c r="B16" s="4" t="s">
        <v>33</v>
      </c>
      <c r="C16" s="5" t="str">
        <f>VLOOKUP(RIGHT(B16,8),'Các bảng tham chiếu &amp; Thống kê'!$B$14:$C$27,2,FALSE)</f>
        <v>Nguyễn Thị Đào</v>
      </c>
      <c r="D16" s="4">
        <f>VLOOKUP(RIGHT(B16,8),'Điểm thực hành các buổi'!$B$3:$F$16,3,FALSE)</f>
        <v>0.3</v>
      </c>
      <c r="E16" s="4">
        <f>VLOOKUP(RIGHT(B16,8),'Điểm thực hành các buổi'!$B$3:$F$16,4,FALSE)</f>
        <v>0.5</v>
      </c>
      <c r="F16" s="4">
        <f>VLOOKUP(RIGHT(B16,8),'Điểm thực hành các buổi'!$B$3:$F$16,5,FALSE)</f>
        <v>0.45</v>
      </c>
      <c r="G16" s="4">
        <f>VLOOKUP(RIGHT(B16,8),'Điểm bài tập lớn'!$B$3:$D$16,3,FALSE)</f>
        <v>0.3</v>
      </c>
      <c r="H16" s="4">
        <f>VLOOKUP(RIGHT(B16,8),'Điểm lý thuyết'!$B$3:$D$16,3,FALSE)</f>
        <v>8.3000000000000007</v>
      </c>
      <c r="I16" s="4">
        <f t="shared" si="0"/>
        <v>6.5</v>
      </c>
      <c r="J16" s="4">
        <f>ROUND(IF(OR(G16=0,VALUE(LEFT(B16,1))&gt;2),0,I16+VLOOKUP(VALUE(LEFT(B16,1)),'Các bảng tham chiếu &amp; Thống kê'!$E$3:$F$5,2,FALSE)),1)</f>
        <v>7</v>
      </c>
      <c r="K16" s="4" t="str">
        <f>VLOOKUP(J16,'Các bảng tham chiếu &amp; Thống kê'!$A$3:$B$10,2,TRUE)</f>
        <v>B</v>
      </c>
    </row>
    <row r="17" spans="1:11" x14ac:dyDescent="0.25">
      <c r="A17" s="4">
        <v>11</v>
      </c>
      <c r="B17" s="4" t="s">
        <v>34</v>
      </c>
      <c r="C17" s="5" t="str">
        <f>VLOOKUP(RIGHT(B17,8),'Các bảng tham chiếu &amp; Thống kê'!$B$14:$C$27,2,FALSE)</f>
        <v>Nguyễn Chí Thanh</v>
      </c>
      <c r="D17" s="4">
        <f>VLOOKUP(RIGHT(B17,8),'Điểm thực hành các buổi'!$B$3:$F$16,3,FALSE)</f>
        <v>0.4</v>
      </c>
      <c r="E17" s="4">
        <f>VLOOKUP(RIGHT(B17,8),'Điểm thực hành các buổi'!$B$3:$F$16,4,FALSE)</f>
        <v>0.45</v>
      </c>
      <c r="F17" s="4">
        <f>VLOOKUP(RIGHT(B17,8),'Điểm thực hành các buổi'!$B$3:$F$16,5,FALSE)</f>
        <v>0.4</v>
      </c>
      <c r="G17" s="4">
        <f>VLOOKUP(RIGHT(B17,8),'Điểm bài tập lớn'!$B$3:$D$16,3,FALSE)</f>
        <v>0.3</v>
      </c>
      <c r="H17" s="4">
        <f>VLOOKUP(RIGHT(B17,8),'Điểm lý thuyết'!$B$3:$D$16,3,FALSE)</f>
        <v>-3</v>
      </c>
      <c r="I17" s="4">
        <f t="shared" si="0"/>
        <v>0</v>
      </c>
      <c r="J17" s="4">
        <f>ROUND(IF(OR(G17=0,VALUE(LEFT(B17,1))&gt;2),0,I17+VLOOKUP(VALUE(LEFT(B17,1)),'Các bảng tham chiếu &amp; Thống kê'!$E$3:$F$5,2,FALSE)),1)</f>
        <v>0</v>
      </c>
      <c r="K17" s="4" t="str">
        <f>VLOOKUP(J17,'Các bảng tham chiếu &amp; Thống kê'!$A$3:$B$10,2,TRUE)</f>
        <v>F</v>
      </c>
    </row>
    <row r="18" spans="1:11" x14ac:dyDescent="0.25">
      <c r="A18" s="4">
        <v>12</v>
      </c>
      <c r="B18" s="4" t="s">
        <v>35</v>
      </c>
      <c r="C18" s="5" t="str">
        <f>VLOOKUP(RIGHT(B18,8),'Các bảng tham chiếu &amp; Thống kê'!$B$14:$C$27,2,FALSE)</f>
        <v>Nguyễn Hải Anh</v>
      </c>
      <c r="D18" s="4">
        <f>VLOOKUP(RIGHT(B18,8),'Điểm thực hành các buổi'!$B$3:$F$16,3,FALSE)</f>
        <v>0.5</v>
      </c>
      <c r="E18" s="4">
        <f>VLOOKUP(RIGHT(B18,8),'Điểm thực hành các buổi'!$B$3:$F$16,4,FALSE)</f>
        <v>0.5</v>
      </c>
      <c r="F18" s="4">
        <f>VLOOKUP(RIGHT(B18,8),'Điểm thực hành các buổi'!$B$3:$F$16,5,FALSE)</f>
        <v>0.45</v>
      </c>
      <c r="G18" s="4">
        <f>VLOOKUP(RIGHT(B18,8),'Điểm bài tập lớn'!$B$3:$D$16,3,FALSE)</f>
        <v>1.5</v>
      </c>
      <c r="H18" s="4">
        <f>VLOOKUP(RIGHT(B18,8),'Điểm lý thuyết'!$B$3:$D$16,3,FALSE)</f>
        <v>7</v>
      </c>
      <c r="I18" s="4">
        <f t="shared" si="0"/>
        <v>7.2</v>
      </c>
      <c r="J18" s="4">
        <f>ROUND(IF(OR(G18=0,VALUE(LEFT(B18,1))&gt;2),0,I18+VLOOKUP(VALUE(LEFT(B18,1)),'Các bảng tham chiếu &amp; Thống kê'!$E$3:$F$5,2,FALSE)),1)</f>
        <v>7.5</v>
      </c>
      <c r="K18" s="4" t="str">
        <f>VLOOKUP(J18,'Các bảng tham chiếu &amp; Thống kê'!$A$3:$B$10,2,TRUE)</f>
        <v>B</v>
      </c>
    </row>
    <row r="19" spans="1:11" x14ac:dyDescent="0.25">
      <c r="A19" s="4">
        <v>13</v>
      </c>
      <c r="B19" s="4" t="s">
        <v>36</v>
      </c>
      <c r="C19" s="5" t="str">
        <f>VLOOKUP(RIGHT(B19,8),'Các bảng tham chiếu &amp; Thống kê'!$B$14:$C$27,2,FALSE)</f>
        <v>Trần Nam Dương</v>
      </c>
      <c r="D19" s="4">
        <f>VLOOKUP(RIGHT(B19,8),'Điểm thực hành các buổi'!$B$3:$F$16,3,FALSE)</f>
        <v>0.4</v>
      </c>
      <c r="E19" s="4">
        <f>VLOOKUP(RIGHT(B19,8),'Điểm thực hành các buổi'!$B$3:$F$16,4,FALSE)</f>
        <v>0.4</v>
      </c>
      <c r="F19" s="4">
        <f>VLOOKUP(RIGHT(B19,8),'Điểm thực hành các buổi'!$B$3:$F$16,5,FALSE)</f>
        <v>0.35</v>
      </c>
      <c r="G19" s="4">
        <f>VLOOKUP(RIGHT(B19,8),'Điểm bài tập lớn'!$B$3:$D$16,3,FALSE)</f>
        <v>1.35</v>
      </c>
      <c r="H19" s="4">
        <f>VLOOKUP(RIGHT(B19,8),'Điểm lý thuyết'!$B$3:$D$16,3,FALSE)</f>
        <v>-3</v>
      </c>
      <c r="I19" s="4">
        <f t="shared" si="0"/>
        <v>0</v>
      </c>
      <c r="J19" s="4">
        <f>ROUND(IF(OR(G19=0,VALUE(LEFT(B19,1))&gt;2),0,I19+VLOOKUP(VALUE(LEFT(B19,1)),'Các bảng tham chiếu &amp; Thống kê'!$E$3:$F$5,2,FALSE)),1)</f>
        <v>0</v>
      </c>
      <c r="K19" s="4" t="str">
        <f>VLOOKUP(J19,'Các bảng tham chiếu &amp; Thống kê'!$A$3:$B$10,2,TRUE)</f>
        <v>F</v>
      </c>
    </row>
    <row r="20" spans="1:11" x14ac:dyDescent="0.25">
      <c r="A20" s="4">
        <v>14</v>
      </c>
      <c r="B20" s="4" t="s">
        <v>37</v>
      </c>
      <c r="C20" s="5" t="str">
        <f>VLOOKUP(RIGHT(B20,8),'Các bảng tham chiếu &amp; Thống kê'!$B$14:$C$27,2,FALSE)</f>
        <v>Nguyễn Duy Khanh</v>
      </c>
      <c r="D20" s="4">
        <f>VLOOKUP(RIGHT(B20,8),'Điểm thực hành các buổi'!$B$3:$F$16,3,FALSE)</f>
        <v>0.35</v>
      </c>
      <c r="E20" s="4">
        <f>VLOOKUP(RIGHT(B20,8),'Điểm thực hành các buổi'!$B$3:$F$16,4,FALSE)</f>
        <v>0.4</v>
      </c>
      <c r="F20" s="4">
        <f>VLOOKUP(RIGHT(B20,8),'Điểm thực hành các buổi'!$B$3:$F$16,5,FALSE)</f>
        <v>0</v>
      </c>
      <c r="G20" s="4">
        <f>VLOOKUP(RIGHT(B20,8),'Điểm bài tập lớn'!$B$3:$D$16,3,FALSE)</f>
        <v>0.85</v>
      </c>
      <c r="H20" s="4">
        <f>VLOOKUP(RIGHT(B20,8),'Điểm lý thuyết'!$B$3:$D$16,3,FALSE)</f>
        <v>6.5</v>
      </c>
      <c r="I20" s="4">
        <f t="shared" si="0"/>
        <v>5.5</v>
      </c>
      <c r="J20" s="4">
        <f>ROUND(IF(OR(G20=0,VALUE(LEFT(B20,1))&gt;2),0,I20+VLOOKUP(VALUE(LEFT(B20,1)),'Các bảng tham chiếu &amp; Thống kê'!$E$3:$F$5,2,FALSE)),1)</f>
        <v>6.5</v>
      </c>
      <c r="K20" s="4" t="str">
        <f>VLOOKUP(J20,'Các bảng tham chiếu &amp; Thống kê'!$A$3:$B$10,2,TRUE)</f>
        <v>C+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21" sqref="D21"/>
    </sheetView>
  </sheetViews>
  <sheetFormatPr defaultRowHeight="15" x14ac:dyDescent="0.25"/>
  <cols>
    <col min="1" max="1" width="12.7109375" customWidth="1"/>
    <col min="2" max="2" width="11" customWidth="1"/>
    <col min="3" max="3" width="20" customWidth="1"/>
    <col min="4" max="6" width="12" customWidth="1"/>
  </cols>
  <sheetData>
    <row r="1" spans="1:6" x14ac:dyDescent="0.25">
      <c r="A1" s="10" t="s">
        <v>38</v>
      </c>
      <c r="B1" s="9"/>
      <c r="C1" s="9"/>
      <c r="D1" s="9"/>
      <c r="E1" s="9"/>
      <c r="F1" s="9"/>
    </row>
    <row r="2" spans="1:6" x14ac:dyDescent="0.25">
      <c r="A2" s="6" t="s">
        <v>13</v>
      </c>
      <c r="B2" s="6" t="s">
        <v>14</v>
      </c>
      <c r="C2" s="6" t="s">
        <v>39</v>
      </c>
      <c r="D2" s="6" t="s">
        <v>16</v>
      </c>
      <c r="E2" s="6" t="s">
        <v>17</v>
      </c>
      <c r="F2" s="6" t="s">
        <v>18</v>
      </c>
    </row>
    <row r="3" spans="1:6" x14ac:dyDescent="0.25">
      <c r="A3" s="4">
        <v>1</v>
      </c>
      <c r="B3" s="4" t="s">
        <v>40</v>
      </c>
      <c r="C3" s="5" t="s">
        <v>41</v>
      </c>
      <c r="D3" s="4">
        <v>0.45</v>
      </c>
      <c r="E3" s="4">
        <v>0.25</v>
      </c>
      <c r="F3" s="4">
        <v>0.3</v>
      </c>
    </row>
    <row r="4" spans="1:6" x14ac:dyDescent="0.25">
      <c r="A4" s="4">
        <v>2</v>
      </c>
      <c r="B4" s="4" t="s">
        <v>42</v>
      </c>
      <c r="C4" s="5" t="s">
        <v>43</v>
      </c>
      <c r="D4" s="4">
        <v>0.5</v>
      </c>
      <c r="E4" s="4">
        <v>0.35</v>
      </c>
      <c r="F4" s="4">
        <v>0.4</v>
      </c>
    </row>
    <row r="5" spans="1:6" x14ac:dyDescent="0.25">
      <c r="A5" s="4">
        <v>3</v>
      </c>
      <c r="B5" s="4" t="s">
        <v>44</v>
      </c>
      <c r="C5" s="5" t="s">
        <v>45</v>
      </c>
      <c r="D5" s="4">
        <v>0.25</v>
      </c>
      <c r="E5" s="4">
        <v>0.25</v>
      </c>
      <c r="F5" s="4">
        <v>0.3</v>
      </c>
    </row>
    <row r="6" spans="1:6" x14ac:dyDescent="0.25">
      <c r="A6" s="4">
        <v>4</v>
      </c>
      <c r="B6" s="4" t="s">
        <v>46</v>
      </c>
      <c r="C6" s="5" t="s">
        <v>47</v>
      </c>
      <c r="D6" s="4">
        <v>0.4</v>
      </c>
      <c r="E6" s="4">
        <v>0.25</v>
      </c>
      <c r="F6" s="4">
        <v>0.35</v>
      </c>
    </row>
    <row r="7" spans="1:6" x14ac:dyDescent="0.25">
      <c r="A7" s="4">
        <v>5</v>
      </c>
      <c r="B7" s="4" t="s">
        <v>48</v>
      </c>
      <c r="C7" s="5" t="s">
        <v>49</v>
      </c>
      <c r="D7" s="4">
        <v>0.45</v>
      </c>
      <c r="E7" s="4">
        <v>0.4</v>
      </c>
      <c r="F7" s="4">
        <v>0.35</v>
      </c>
    </row>
    <row r="8" spans="1:6" x14ac:dyDescent="0.25">
      <c r="A8" s="4">
        <v>6</v>
      </c>
      <c r="B8" s="4" t="s">
        <v>50</v>
      </c>
      <c r="C8" s="5" t="s">
        <v>51</v>
      </c>
      <c r="D8" s="4">
        <v>0.4</v>
      </c>
      <c r="E8" s="4">
        <v>0.45</v>
      </c>
      <c r="F8" s="4">
        <v>0.5</v>
      </c>
    </row>
    <row r="9" spans="1:6" x14ac:dyDescent="0.25">
      <c r="A9" s="4">
        <v>7</v>
      </c>
      <c r="B9" s="4" t="s">
        <v>52</v>
      </c>
      <c r="C9" s="5" t="s">
        <v>53</v>
      </c>
      <c r="D9" s="4">
        <v>0.4</v>
      </c>
      <c r="E9" s="4">
        <v>0.4</v>
      </c>
      <c r="F9" s="4">
        <v>0.4</v>
      </c>
    </row>
    <row r="10" spans="1:6" x14ac:dyDescent="0.25">
      <c r="A10" s="4">
        <v>8</v>
      </c>
      <c r="B10" s="4" t="s">
        <v>54</v>
      </c>
      <c r="C10" s="5" t="s">
        <v>55</v>
      </c>
      <c r="D10" s="4">
        <v>0.45</v>
      </c>
      <c r="E10" s="4">
        <v>0.4</v>
      </c>
      <c r="F10" s="4">
        <v>0.45</v>
      </c>
    </row>
    <row r="11" spans="1:6" x14ac:dyDescent="0.25">
      <c r="A11" s="4">
        <v>9</v>
      </c>
      <c r="B11" s="4" t="s">
        <v>56</v>
      </c>
      <c r="C11" s="5" t="s">
        <v>57</v>
      </c>
      <c r="D11" s="4">
        <v>0.45</v>
      </c>
      <c r="E11" s="4">
        <v>0.4</v>
      </c>
      <c r="F11" s="4">
        <v>0.4</v>
      </c>
    </row>
    <row r="12" spans="1:6" x14ac:dyDescent="0.25">
      <c r="A12" s="4">
        <v>10</v>
      </c>
      <c r="B12" s="4" t="s">
        <v>58</v>
      </c>
      <c r="C12" s="5" t="s">
        <v>59</v>
      </c>
      <c r="D12" s="4">
        <v>0.3</v>
      </c>
      <c r="E12" s="4">
        <v>0.5</v>
      </c>
      <c r="F12" s="4">
        <v>0.45</v>
      </c>
    </row>
    <row r="13" spans="1:6" x14ac:dyDescent="0.25">
      <c r="A13" s="4">
        <v>11</v>
      </c>
      <c r="B13" s="4" t="s">
        <v>60</v>
      </c>
      <c r="C13" s="5" t="s">
        <v>61</v>
      </c>
      <c r="D13" s="4">
        <v>0.4</v>
      </c>
      <c r="E13" s="4">
        <v>0.45</v>
      </c>
      <c r="F13" s="4">
        <v>0.4</v>
      </c>
    </row>
    <row r="14" spans="1:6" x14ac:dyDescent="0.25">
      <c r="A14" s="4">
        <v>12</v>
      </c>
      <c r="B14" s="4" t="s">
        <v>62</v>
      </c>
      <c r="C14" s="5" t="s">
        <v>63</v>
      </c>
      <c r="D14" s="4">
        <v>0.5</v>
      </c>
      <c r="E14" s="4">
        <v>0.5</v>
      </c>
      <c r="F14" s="4">
        <v>0.45</v>
      </c>
    </row>
    <row r="15" spans="1:6" x14ac:dyDescent="0.25">
      <c r="A15" s="4">
        <v>13</v>
      </c>
      <c r="B15" s="4" t="s">
        <v>64</v>
      </c>
      <c r="C15" s="5" t="s">
        <v>65</v>
      </c>
      <c r="D15" s="4">
        <v>0.4</v>
      </c>
      <c r="E15" s="4">
        <v>0.4</v>
      </c>
      <c r="F15" s="4">
        <v>0.35</v>
      </c>
    </row>
    <row r="16" spans="1:6" x14ac:dyDescent="0.25">
      <c r="A16" s="4">
        <v>14</v>
      </c>
      <c r="B16" s="4" t="s">
        <v>66</v>
      </c>
      <c r="C16" s="5" t="s">
        <v>67</v>
      </c>
      <c r="D16" s="4">
        <v>0.35</v>
      </c>
      <c r="E16" s="4">
        <v>0.4</v>
      </c>
      <c r="F16" s="4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D1"/>
    </sheetView>
  </sheetViews>
  <sheetFormatPr defaultRowHeight="15" x14ac:dyDescent="0.25"/>
  <cols>
    <col min="1" max="1" width="11.7109375" customWidth="1"/>
    <col min="2" max="2" width="14.42578125" customWidth="1"/>
    <col min="3" max="3" width="22.85546875" customWidth="1"/>
    <col min="4" max="4" width="14" customWidth="1"/>
  </cols>
  <sheetData>
    <row r="1" spans="1:4" x14ac:dyDescent="0.25">
      <c r="A1" s="10" t="s">
        <v>68</v>
      </c>
      <c r="B1" s="9"/>
      <c r="C1" s="9"/>
      <c r="D1" s="9"/>
    </row>
    <row r="2" spans="1:4" x14ac:dyDescent="0.25">
      <c r="A2" s="6" t="s">
        <v>13</v>
      </c>
      <c r="B2" s="6" t="s">
        <v>14</v>
      </c>
      <c r="C2" s="6" t="s">
        <v>39</v>
      </c>
      <c r="D2" s="6" t="s">
        <v>69</v>
      </c>
    </row>
    <row r="3" spans="1:4" x14ac:dyDescent="0.25">
      <c r="A3" s="4">
        <v>1</v>
      </c>
      <c r="B3" s="4" t="s">
        <v>40</v>
      </c>
      <c r="C3" s="5" t="s">
        <v>41</v>
      </c>
      <c r="D3" s="4">
        <v>0.5</v>
      </c>
    </row>
    <row r="4" spans="1:4" x14ac:dyDescent="0.25">
      <c r="A4" s="4">
        <v>2</v>
      </c>
      <c r="B4" s="4" t="s">
        <v>42</v>
      </c>
      <c r="C4" s="5" t="s">
        <v>43</v>
      </c>
      <c r="D4" s="4">
        <v>1</v>
      </c>
    </row>
    <row r="5" spans="1:4" x14ac:dyDescent="0.25">
      <c r="A5" s="4">
        <v>3</v>
      </c>
      <c r="B5" s="4" t="s">
        <v>44</v>
      </c>
      <c r="C5" s="5" t="s">
        <v>45</v>
      </c>
      <c r="D5" s="4">
        <v>0.5</v>
      </c>
    </row>
    <row r="6" spans="1:4" x14ac:dyDescent="0.25">
      <c r="A6" s="4">
        <v>4</v>
      </c>
      <c r="B6" s="4" t="s">
        <v>46</v>
      </c>
      <c r="C6" s="5" t="s">
        <v>47</v>
      </c>
      <c r="D6" s="4">
        <v>1</v>
      </c>
    </row>
    <row r="7" spans="1:4" x14ac:dyDescent="0.25">
      <c r="A7" s="4">
        <v>5</v>
      </c>
      <c r="B7" s="4" t="s">
        <v>48</v>
      </c>
      <c r="C7" s="5" t="s">
        <v>49</v>
      </c>
      <c r="D7" s="4">
        <v>0.75</v>
      </c>
    </row>
    <row r="8" spans="1:4" x14ac:dyDescent="0.25">
      <c r="A8" s="4">
        <v>6</v>
      </c>
      <c r="B8" s="4" t="s">
        <v>50</v>
      </c>
      <c r="C8" s="5" t="s">
        <v>51</v>
      </c>
      <c r="D8" s="4">
        <v>1.2</v>
      </c>
    </row>
    <row r="9" spans="1:4" x14ac:dyDescent="0.25">
      <c r="A9" s="4">
        <v>7</v>
      </c>
      <c r="B9" s="4" t="s">
        <v>52</v>
      </c>
      <c r="C9" s="5" t="s">
        <v>53</v>
      </c>
      <c r="D9" s="4">
        <v>1</v>
      </c>
    </row>
    <row r="10" spans="1:4" x14ac:dyDescent="0.25">
      <c r="A10" s="4">
        <v>8</v>
      </c>
      <c r="B10" s="4" t="s">
        <v>54</v>
      </c>
      <c r="C10" s="5" t="s">
        <v>55</v>
      </c>
      <c r="D10" s="4">
        <v>0</v>
      </c>
    </row>
    <row r="11" spans="1:4" x14ac:dyDescent="0.25">
      <c r="A11" s="4">
        <v>9</v>
      </c>
      <c r="B11" s="4" t="s">
        <v>56</v>
      </c>
      <c r="C11" s="5" t="s">
        <v>57</v>
      </c>
      <c r="D11" s="4">
        <v>0.75</v>
      </c>
    </row>
    <row r="12" spans="1:4" x14ac:dyDescent="0.25">
      <c r="A12" s="4">
        <v>10</v>
      </c>
      <c r="B12" s="4" t="s">
        <v>58</v>
      </c>
      <c r="C12" s="5" t="s">
        <v>59</v>
      </c>
      <c r="D12" s="4">
        <v>0.3</v>
      </c>
    </row>
    <row r="13" spans="1:4" x14ac:dyDescent="0.25">
      <c r="A13" s="4">
        <v>11</v>
      </c>
      <c r="B13" s="4" t="s">
        <v>60</v>
      </c>
      <c r="C13" s="5" t="s">
        <v>61</v>
      </c>
      <c r="D13" s="4">
        <v>0.3</v>
      </c>
    </row>
    <row r="14" spans="1:4" x14ac:dyDescent="0.25">
      <c r="A14" s="4">
        <v>12</v>
      </c>
      <c r="B14" s="4" t="s">
        <v>62</v>
      </c>
      <c r="C14" s="5" t="s">
        <v>63</v>
      </c>
      <c r="D14" s="4">
        <v>1.5</v>
      </c>
    </row>
    <row r="15" spans="1:4" x14ac:dyDescent="0.25">
      <c r="A15" s="4">
        <v>13</v>
      </c>
      <c r="B15" s="4" t="s">
        <v>64</v>
      </c>
      <c r="C15" s="5" t="s">
        <v>65</v>
      </c>
      <c r="D15" s="4">
        <v>1.35</v>
      </c>
    </row>
    <row r="16" spans="1:4" x14ac:dyDescent="0.25">
      <c r="A16" s="4">
        <v>14</v>
      </c>
      <c r="B16" s="4" t="s">
        <v>66</v>
      </c>
      <c r="C16" s="5" t="s">
        <v>67</v>
      </c>
      <c r="D16" s="4">
        <v>0.85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"/>
    </sheetView>
  </sheetViews>
  <sheetFormatPr defaultRowHeight="15" x14ac:dyDescent="0.25"/>
  <cols>
    <col min="1" max="1" width="14.28515625" customWidth="1"/>
    <col min="2" max="2" width="13" customWidth="1"/>
    <col min="3" max="3" width="21" customWidth="1"/>
    <col min="4" max="4" width="17" customWidth="1"/>
  </cols>
  <sheetData>
    <row r="1" spans="1:4" x14ac:dyDescent="0.25">
      <c r="A1" s="11" t="s">
        <v>70</v>
      </c>
      <c r="B1" s="9"/>
      <c r="C1" s="9"/>
      <c r="D1" s="9"/>
    </row>
    <row r="2" spans="1:4" x14ac:dyDescent="0.25">
      <c r="A2" s="7" t="s">
        <v>13</v>
      </c>
      <c r="B2" s="7" t="s">
        <v>14</v>
      </c>
      <c r="C2" s="7" t="s">
        <v>15</v>
      </c>
      <c r="D2" s="7" t="s">
        <v>70</v>
      </c>
    </row>
    <row r="3" spans="1:4" x14ac:dyDescent="0.25">
      <c r="A3" s="4">
        <v>1</v>
      </c>
      <c r="B3" s="4" t="s">
        <v>40</v>
      </c>
      <c r="C3" s="5" t="s">
        <v>71</v>
      </c>
      <c r="D3" s="4">
        <v>4.2</v>
      </c>
    </row>
    <row r="4" spans="1:4" x14ac:dyDescent="0.25">
      <c r="A4" s="4">
        <v>2</v>
      </c>
      <c r="B4" s="4" t="s">
        <v>42</v>
      </c>
      <c r="C4" s="5" t="s">
        <v>43</v>
      </c>
      <c r="D4" s="4">
        <v>5.8</v>
      </c>
    </row>
    <row r="5" spans="1:4" x14ac:dyDescent="0.25">
      <c r="A5" s="4">
        <v>3</v>
      </c>
      <c r="B5" s="4" t="s">
        <v>44</v>
      </c>
      <c r="C5" s="5" t="s">
        <v>45</v>
      </c>
      <c r="D5" s="4">
        <v>5.8</v>
      </c>
    </row>
    <row r="6" spans="1:4" x14ac:dyDescent="0.25">
      <c r="A6" s="4">
        <v>4</v>
      </c>
      <c r="B6" s="4" t="s">
        <v>46</v>
      </c>
      <c r="C6" s="5" t="s">
        <v>47</v>
      </c>
      <c r="D6" s="4">
        <v>4.5</v>
      </c>
    </row>
    <row r="7" spans="1:4" x14ac:dyDescent="0.25">
      <c r="A7" s="4">
        <v>5</v>
      </c>
      <c r="B7" s="4" t="s">
        <v>48</v>
      </c>
      <c r="C7" s="5" t="s">
        <v>49</v>
      </c>
      <c r="D7" s="4">
        <v>5.5</v>
      </c>
    </row>
    <row r="8" spans="1:4" x14ac:dyDescent="0.25">
      <c r="A8" s="4">
        <v>6</v>
      </c>
      <c r="B8" s="4" t="s">
        <v>50</v>
      </c>
      <c r="C8" s="5" t="s">
        <v>51</v>
      </c>
      <c r="D8" s="4">
        <v>7.5</v>
      </c>
    </row>
    <row r="9" spans="1:4" x14ac:dyDescent="0.25">
      <c r="A9" s="4">
        <v>7</v>
      </c>
      <c r="B9" s="4" t="s">
        <v>52</v>
      </c>
      <c r="C9" s="5" t="s">
        <v>53</v>
      </c>
      <c r="D9" s="4">
        <v>5.3</v>
      </c>
    </row>
    <row r="10" spans="1:4" x14ac:dyDescent="0.25">
      <c r="A10" s="4">
        <v>8</v>
      </c>
      <c r="B10" s="4" t="s">
        <v>54</v>
      </c>
      <c r="C10" s="5" t="s">
        <v>55</v>
      </c>
      <c r="D10" s="4">
        <v>6.8</v>
      </c>
    </row>
    <row r="11" spans="1:4" x14ac:dyDescent="0.25">
      <c r="A11" s="4">
        <v>9</v>
      </c>
      <c r="B11" s="4" t="s">
        <v>56</v>
      </c>
      <c r="C11" s="5" t="s">
        <v>57</v>
      </c>
      <c r="D11" s="4">
        <v>6.3</v>
      </c>
    </row>
    <row r="12" spans="1:4" x14ac:dyDescent="0.25">
      <c r="A12" s="4">
        <v>10</v>
      </c>
      <c r="B12" s="4" t="s">
        <v>58</v>
      </c>
      <c r="C12" s="5" t="s">
        <v>59</v>
      </c>
      <c r="D12" s="4">
        <v>8.3000000000000007</v>
      </c>
    </row>
    <row r="13" spans="1:4" x14ac:dyDescent="0.25">
      <c r="A13" s="4">
        <v>11</v>
      </c>
      <c r="B13" s="4" t="s">
        <v>60</v>
      </c>
      <c r="C13" s="5" t="s">
        <v>61</v>
      </c>
      <c r="D13" s="4">
        <v>-3</v>
      </c>
    </row>
    <row r="14" spans="1:4" x14ac:dyDescent="0.25">
      <c r="A14" s="4">
        <v>12</v>
      </c>
      <c r="B14" s="4" t="s">
        <v>62</v>
      </c>
      <c r="C14" s="5" t="s">
        <v>63</v>
      </c>
      <c r="D14" s="4">
        <v>7</v>
      </c>
    </row>
    <row r="15" spans="1:4" x14ac:dyDescent="0.25">
      <c r="A15" s="4">
        <v>13</v>
      </c>
      <c r="B15" s="4" t="s">
        <v>64</v>
      </c>
      <c r="C15" s="5" t="s">
        <v>65</v>
      </c>
      <c r="D15" s="4">
        <v>-3</v>
      </c>
    </row>
    <row r="16" spans="1:4" x14ac:dyDescent="0.25">
      <c r="A16" s="4">
        <v>14</v>
      </c>
      <c r="B16" s="4" t="s">
        <v>66</v>
      </c>
      <c r="C16" s="5" t="s">
        <v>67</v>
      </c>
      <c r="D16" s="4">
        <v>6.5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J26" sqref="J26"/>
    </sheetView>
  </sheetViews>
  <sheetFormatPr defaultRowHeight="15" x14ac:dyDescent="0.25"/>
  <cols>
    <col min="1" max="1" width="24.7109375" customWidth="1"/>
    <col min="2" max="2" width="22" customWidth="1"/>
    <col min="3" max="3" width="25" customWidth="1"/>
    <col min="4" max="4" width="6.85546875" customWidth="1"/>
    <col min="5" max="5" width="45" customWidth="1"/>
    <col min="6" max="6" width="34.85546875" customWidth="1"/>
  </cols>
  <sheetData>
    <row r="1" spans="1:6" ht="18.75" customHeight="1" x14ac:dyDescent="0.25">
      <c r="A1" s="20" t="s">
        <v>72</v>
      </c>
      <c r="B1" s="21"/>
      <c r="C1" s="28"/>
      <c r="D1" s="14"/>
      <c r="E1" s="18" t="s">
        <v>73</v>
      </c>
      <c r="F1" s="21"/>
    </row>
    <row r="2" spans="1:6" ht="24.75" customHeight="1" x14ac:dyDescent="0.25">
      <c r="A2" s="22" t="s">
        <v>22</v>
      </c>
      <c r="B2" s="22" t="s">
        <v>23</v>
      </c>
      <c r="C2" s="29" t="s">
        <v>74</v>
      </c>
      <c r="D2" s="14"/>
      <c r="E2" s="33" t="s">
        <v>75</v>
      </c>
      <c r="F2" s="22" t="s">
        <v>76</v>
      </c>
    </row>
    <row r="3" spans="1:6" x14ac:dyDescent="0.25">
      <c r="A3" s="13">
        <v>0</v>
      </c>
      <c r="B3" s="13" t="s">
        <v>77</v>
      </c>
      <c r="C3" s="30">
        <v>0</v>
      </c>
      <c r="D3" s="14"/>
      <c r="E3" s="34">
        <v>0</v>
      </c>
      <c r="F3" s="13">
        <v>1</v>
      </c>
    </row>
    <row r="4" spans="1:6" x14ac:dyDescent="0.25">
      <c r="A4" s="13">
        <v>4</v>
      </c>
      <c r="B4" s="13" t="s">
        <v>78</v>
      </c>
      <c r="C4" s="30">
        <v>1</v>
      </c>
      <c r="D4" s="14"/>
      <c r="E4" s="34">
        <v>1</v>
      </c>
      <c r="F4" s="13">
        <v>0.5</v>
      </c>
    </row>
    <row r="5" spans="1:6" x14ac:dyDescent="0.25">
      <c r="A5" s="13">
        <v>5</v>
      </c>
      <c r="B5" s="13" t="s">
        <v>79</v>
      </c>
      <c r="C5" s="30">
        <v>1.5</v>
      </c>
      <c r="D5" s="14"/>
      <c r="E5" s="34">
        <v>2</v>
      </c>
      <c r="F5" s="13">
        <v>0.25</v>
      </c>
    </row>
    <row r="6" spans="1:6" x14ac:dyDescent="0.25">
      <c r="A6" s="13">
        <v>5.5</v>
      </c>
      <c r="B6" s="13" t="s">
        <v>80</v>
      </c>
      <c r="C6" s="30">
        <v>2</v>
      </c>
      <c r="D6" s="14"/>
      <c r="E6" s="35"/>
      <c r="F6" s="14"/>
    </row>
    <row r="7" spans="1:6" x14ac:dyDescent="0.25">
      <c r="A7" s="13">
        <v>6.5</v>
      </c>
      <c r="B7" s="13" t="s">
        <v>81</v>
      </c>
      <c r="C7" s="30">
        <v>2.5</v>
      </c>
      <c r="D7" s="14"/>
      <c r="E7" s="35"/>
      <c r="F7" s="14"/>
    </row>
    <row r="8" spans="1:6" x14ac:dyDescent="0.25">
      <c r="A8" s="13">
        <v>7</v>
      </c>
      <c r="B8" s="13" t="s">
        <v>82</v>
      </c>
      <c r="C8" s="30">
        <v>3</v>
      </c>
      <c r="D8" s="14"/>
      <c r="E8" s="35"/>
      <c r="F8" s="14"/>
    </row>
    <row r="9" spans="1:6" x14ac:dyDescent="0.25">
      <c r="A9" s="13">
        <v>8</v>
      </c>
      <c r="B9" s="13" t="s">
        <v>83</v>
      </c>
      <c r="C9" s="30">
        <v>3.5</v>
      </c>
      <c r="D9" s="14"/>
      <c r="E9" s="35"/>
      <c r="F9" s="14"/>
    </row>
    <row r="10" spans="1:6" x14ac:dyDescent="0.25">
      <c r="A10" s="13">
        <v>9</v>
      </c>
      <c r="B10" s="13" t="s">
        <v>84</v>
      </c>
      <c r="C10" s="30">
        <v>4</v>
      </c>
      <c r="D10" s="14"/>
      <c r="E10" s="35"/>
      <c r="F10" s="14"/>
    </row>
    <row r="11" spans="1:6" x14ac:dyDescent="0.25">
      <c r="A11" s="27"/>
      <c r="B11" s="27"/>
      <c r="C11" s="27"/>
      <c r="D11" s="15"/>
      <c r="E11" s="27"/>
      <c r="F11" s="27"/>
    </row>
    <row r="12" spans="1:6" ht="20.25" customHeight="1" x14ac:dyDescent="0.25">
      <c r="A12" s="16" t="s">
        <v>85</v>
      </c>
      <c r="B12" s="17"/>
      <c r="C12" s="17"/>
      <c r="D12" s="14"/>
      <c r="E12" s="18" t="s">
        <v>86</v>
      </c>
      <c r="F12" s="21"/>
    </row>
    <row r="13" spans="1:6" ht="27" customHeight="1" x14ac:dyDescent="0.25">
      <c r="A13" s="19" t="s">
        <v>13</v>
      </c>
      <c r="B13" s="19" t="s">
        <v>14</v>
      </c>
      <c r="C13" s="31" t="s">
        <v>15</v>
      </c>
      <c r="D13" s="14"/>
      <c r="E13" s="33" t="s">
        <v>23</v>
      </c>
      <c r="F13" s="22" t="s">
        <v>87</v>
      </c>
    </row>
    <row r="14" spans="1:6" x14ac:dyDescent="0.25">
      <c r="A14" s="13">
        <v>1</v>
      </c>
      <c r="B14" s="13" t="s">
        <v>40</v>
      </c>
      <c r="C14" s="32" t="s">
        <v>41</v>
      </c>
      <c r="D14" s="14"/>
      <c r="E14" s="34" t="s">
        <v>84</v>
      </c>
      <c r="F14" s="13">
        <f>COUNTIF('Tổng hợp điểm'!$K$7:$K$20,"A")</f>
        <v>0</v>
      </c>
    </row>
    <row r="15" spans="1:6" x14ac:dyDescent="0.25">
      <c r="A15" s="13">
        <v>2</v>
      </c>
      <c r="B15" s="13" t="s">
        <v>42</v>
      </c>
      <c r="C15" s="32" t="s">
        <v>43</v>
      </c>
      <c r="D15" s="14"/>
      <c r="E15" s="34" t="s">
        <v>83</v>
      </c>
      <c r="F15" s="13">
        <f>COUNTIF('Tổng hợp điểm'!$K$7:$K$20,"B+")</f>
        <v>1</v>
      </c>
    </row>
    <row r="16" spans="1:6" x14ac:dyDescent="0.25">
      <c r="A16" s="13">
        <v>3</v>
      </c>
      <c r="B16" s="13" t="s">
        <v>44</v>
      </c>
      <c r="C16" s="32" t="s">
        <v>45</v>
      </c>
      <c r="D16" s="14"/>
      <c r="E16" s="34" t="s">
        <v>82</v>
      </c>
      <c r="F16" s="13">
        <f>COUNTIF('Tổng hợp điểm'!$K$7:$K$20,"B")</f>
        <v>2</v>
      </c>
    </row>
    <row r="17" spans="1:6" x14ac:dyDescent="0.25">
      <c r="A17" s="13">
        <v>4</v>
      </c>
      <c r="B17" s="13" t="s">
        <v>46</v>
      </c>
      <c r="C17" s="32" t="s">
        <v>47</v>
      </c>
      <c r="D17" s="14"/>
      <c r="E17" s="34" t="s">
        <v>81</v>
      </c>
      <c r="F17" s="13">
        <f>COUNTIF('Tổng hợp điểm'!$K$7:$K$20,"C+")</f>
        <v>2</v>
      </c>
    </row>
    <row r="18" spans="1:6" x14ac:dyDescent="0.25">
      <c r="A18" s="13">
        <v>5</v>
      </c>
      <c r="B18" s="13" t="s">
        <v>48</v>
      </c>
      <c r="C18" s="32" t="s">
        <v>49</v>
      </c>
      <c r="D18" s="14"/>
      <c r="E18" s="34" t="s">
        <v>80</v>
      </c>
      <c r="F18" s="13">
        <f>COUNTIF('Tổng hợp điểm'!$K$7:$K$20,"C")</f>
        <v>5</v>
      </c>
    </row>
    <row r="19" spans="1:6" x14ac:dyDescent="0.25">
      <c r="A19" s="13">
        <v>6</v>
      </c>
      <c r="B19" s="13" t="s">
        <v>50</v>
      </c>
      <c r="C19" s="32" t="s">
        <v>51</v>
      </c>
      <c r="D19" s="14"/>
      <c r="E19" s="34" t="s">
        <v>79</v>
      </c>
      <c r="F19" s="13">
        <f>COUNTIF('Tổng hợp điểm'!$K$7:$K$20,"D+")</f>
        <v>1</v>
      </c>
    </row>
    <row r="20" spans="1:6" x14ac:dyDescent="0.25">
      <c r="A20" s="13">
        <v>7</v>
      </c>
      <c r="B20" s="13" t="s">
        <v>52</v>
      </c>
      <c r="C20" s="32" t="s">
        <v>53</v>
      </c>
      <c r="D20" s="14"/>
      <c r="E20" s="34" t="s">
        <v>78</v>
      </c>
      <c r="F20" s="13">
        <f>COUNTIF('Tổng hợp điểm'!$K$7:$K$20,"D")</f>
        <v>0</v>
      </c>
    </row>
    <row r="21" spans="1:6" x14ac:dyDescent="0.25">
      <c r="A21" s="13">
        <v>8</v>
      </c>
      <c r="B21" s="13" t="s">
        <v>54</v>
      </c>
      <c r="C21" s="32" t="s">
        <v>55</v>
      </c>
      <c r="D21" s="14"/>
      <c r="E21" s="34" t="s">
        <v>77</v>
      </c>
      <c r="F21" s="13">
        <f>COUNTIF('Tổng hợp điểm'!$K$7:$K$20,"F")</f>
        <v>3</v>
      </c>
    </row>
    <row r="22" spans="1:6" x14ac:dyDescent="0.25">
      <c r="A22" s="13">
        <v>9</v>
      </c>
      <c r="B22" s="13" t="s">
        <v>56</v>
      </c>
      <c r="C22" s="32" t="s">
        <v>57</v>
      </c>
      <c r="D22" s="14"/>
      <c r="E22" s="35"/>
      <c r="F22" s="14"/>
    </row>
    <row r="23" spans="1:6" x14ac:dyDescent="0.25">
      <c r="A23" s="13">
        <v>10</v>
      </c>
      <c r="B23" s="13" t="s">
        <v>58</v>
      </c>
      <c r="C23" s="32" t="s">
        <v>59</v>
      </c>
      <c r="D23" s="14"/>
      <c r="E23" s="18" t="s">
        <v>88</v>
      </c>
      <c r="F23" s="21"/>
    </row>
    <row r="24" spans="1:6" x14ac:dyDescent="0.25">
      <c r="A24" s="13">
        <v>11</v>
      </c>
      <c r="B24" s="13" t="s">
        <v>60</v>
      </c>
      <c r="C24" s="32" t="s">
        <v>61</v>
      </c>
      <c r="D24" s="14"/>
      <c r="E24" s="36" t="s">
        <v>89</v>
      </c>
      <c r="F24" s="24">
        <f>SUMPRODUCT(--(('Tổng hợp điểm'!$G$7:$G$20=0)+('Tổng hợp điểm'!$H$7:$H$20=-3)&gt;0))</f>
        <v>3</v>
      </c>
    </row>
    <row r="25" spans="1:6" x14ac:dyDescent="0.25">
      <c r="A25" s="13">
        <v>12</v>
      </c>
      <c r="B25" s="13" t="s">
        <v>62</v>
      </c>
      <c r="C25" s="32" t="s">
        <v>63</v>
      </c>
      <c r="D25" s="14"/>
      <c r="E25" s="37"/>
      <c r="F25" s="25"/>
    </row>
    <row r="26" spans="1:6" x14ac:dyDescent="0.25">
      <c r="A26" s="13">
        <v>13</v>
      </c>
      <c r="B26" s="13" t="s">
        <v>64</v>
      </c>
      <c r="C26" s="32" t="s">
        <v>65</v>
      </c>
      <c r="D26" s="14"/>
      <c r="E26" s="38"/>
      <c r="F26" s="26"/>
    </row>
    <row r="27" spans="1:6" ht="16.5" customHeight="1" x14ac:dyDescent="0.25">
      <c r="A27" s="13">
        <v>14</v>
      </c>
      <c r="B27" s="13" t="s">
        <v>66</v>
      </c>
      <c r="C27" s="32" t="s">
        <v>67</v>
      </c>
      <c r="D27" s="14"/>
      <c r="E27" s="39" t="s">
        <v>90</v>
      </c>
      <c r="F27" s="13">
        <f>SUMPRODUCT(--(VALUE(LEFT('Tổng hợp điểm'!$B$7:$B$20,1))&gt;2))</f>
        <v>2</v>
      </c>
    </row>
  </sheetData>
  <mergeCells count="9">
    <mergeCell ref="F24:F26"/>
    <mergeCell ref="E24:E26"/>
    <mergeCell ref="A11:C11"/>
    <mergeCell ref="E11:F11"/>
    <mergeCell ref="E12:F12"/>
    <mergeCell ref="A1:C1"/>
    <mergeCell ref="E1:F1"/>
    <mergeCell ref="E23:F23"/>
    <mergeCell ref="A12:C1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5" sqref="J5"/>
    </sheetView>
  </sheetViews>
  <sheetFormatPr defaultRowHeight="15" x14ac:dyDescent="0.25"/>
  <cols>
    <col min="1" max="1" width="21.85546875" customWidth="1"/>
    <col min="2" max="2" width="17.7109375" customWidth="1"/>
    <col min="3" max="3" width="20.85546875" customWidth="1"/>
    <col min="4" max="4" width="17.28515625" customWidth="1"/>
    <col min="5" max="6" width="15" customWidth="1"/>
    <col min="7" max="7" width="13.140625" customWidth="1"/>
    <col min="8" max="8" width="13.42578125" customWidth="1"/>
    <col min="9" max="9" width="13" customWidth="1"/>
    <col min="10" max="10" width="13.7109375" customWidth="1"/>
    <col min="11" max="11" width="17.42578125" customWidth="1"/>
  </cols>
  <sheetData>
    <row r="1" spans="1:11" ht="18.75" x14ac:dyDescent="0.3">
      <c r="A1" s="42" t="s">
        <v>91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42" customHeight="1" x14ac:dyDescent="0.25">
      <c r="A3" s="40" t="s">
        <v>13</v>
      </c>
      <c r="B3" s="40" t="s">
        <v>14</v>
      </c>
      <c r="C3" s="40" t="s">
        <v>15</v>
      </c>
      <c r="D3" s="40" t="s">
        <v>16</v>
      </c>
      <c r="E3" s="40" t="s">
        <v>17</v>
      </c>
      <c r="F3" s="40" t="s">
        <v>18</v>
      </c>
      <c r="G3" s="40" t="s">
        <v>19</v>
      </c>
      <c r="H3" s="40" t="s">
        <v>20</v>
      </c>
      <c r="I3" s="40" t="s">
        <v>21</v>
      </c>
      <c r="J3" s="40" t="s">
        <v>22</v>
      </c>
      <c r="K3" s="40" t="s">
        <v>23</v>
      </c>
    </row>
    <row r="4" spans="1:11" x14ac:dyDescent="0.25">
      <c r="A4" s="13">
        <v>1</v>
      </c>
      <c r="B4" s="23" t="str">
        <f>'Tổng hợp điểm'!B7</f>
        <v>0B1505719</v>
      </c>
      <c r="C4" s="23" t="str">
        <f>'Tổng hợp điểm'!C7</f>
        <v>Nguyễn Văn Hiếu</v>
      </c>
      <c r="D4" s="41">
        <f>'Tổng hợp điểm'!D7</f>
        <v>0.45</v>
      </c>
      <c r="E4" s="41">
        <f>'Tổng hợp điểm'!E7</f>
        <v>0.25</v>
      </c>
      <c r="F4" s="41">
        <f>'Tổng hợp điểm'!F7</f>
        <v>0.3</v>
      </c>
      <c r="G4" s="41">
        <f>'Tổng hợp điểm'!G7</f>
        <v>0.5</v>
      </c>
      <c r="H4" s="41">
        <f>'Tổng hợp điểm'!H7</f>
        <v>4.2</v>
      </c>
      <c r="I4" s="41">
        <f>'Tổng hợp điểm'!I7</f>
        <v>4</v>
      </c>
      <c r="J4" s="41">
        <f>'Tổng hợp điểm'!J7</f>
        <v>5</v>
      </c>
      <c r="K4" s="41" t="str">
        <f>'Tổng hợp điểm'!K7</f>
        <v>D+</v>
      </c>
    </row>
    <row r="5" spans="1:11" x14ac:dyDescent="0.25">
      <c r="A5" s="13">
        <v>2</v>
      </c>
      <c r="B5" s="23" t="str">
        <f>'Tổng hợp điểm'!B8</f>
        <v>1B1505915</v>
      </c>
      <c r="C5" s="23" t="str">
        <f>'Tổng hợp điểm'!C8</f>
        <v>Lý Minh Trí</v>
      </c>
      <c r="D5" s="41">
        <f>'Tổng hợp điểm'!D8</f>
        <v>0.5</v>
      </c>
      <c r="E5" s="41">
        <f>'Tổng hợp điểm'!E8</f>
        <v>0.35</v>
      </c>
      <c r="F5" s="41">
        <f>'Tổng hợp điểm'!F8</f>
        <v>0.4</v>
      </c>
      <c r="G5" s="41">
        <f>'Tổng hợp điểm'!G8</f>
        <v>1</v>
      </c>
      <c r="H5" s="41">
        <f>'Tổng hợp điểm'!H8</f>
        <v>5.8</v>
      </c>
      <c r="I5" s="41">
        <f>'Tổng hợp điểm'!I8</f>
        <v>5.7</v>
      </c>
      <c r="J5" s="41">
        <f>'Tổng hợp điểm'!J8</f>
        <v>6.2</v>
      </c>
      <c r="K5" s="41" t="str">
        <f>'Tổng hợp điểm'!K8</f>
        <v>C</v>
      </c>
    </row>
    <row r="6" spans="1:11" x14ac:dyDescent="0.25">
      <c r="A6" s="13">
        <v>3</v>
      </c>
      <c r="B6" s="23" t="str">
        <f>'Tổng hợp điểm'!B9</f>
        <v>0B1509874</v>
      </c>
      <c r="C6" s="23" t="str">
        <f>'Tổng hợp điểm'!C9</f>
        <v>Nguyễn Kiều Mi</v>
      </c>
      <c r="D6" s="41">
        <f>'Tổng hợp điểm'!D9</f>
        <v>0.25</v>
      </c>
      <c r="E6" s="41">
        <f>'Tổng hợp điểm'!E9</f>
        <v>0.25</v>
      </c>
      <c r="F6" s="41">
        <f>'Tổng hợp điểm'!F9</f>
        <v>0.3</v>
      </c>
      <c r="G6" s="41">
        <f>'Tổng hợp điểm'!G9</f>
        <v>0.5</v>
      </c>
      <c r="H6" s="41">
        <f>'Tổng hợp điểm'!H9</f>
        <v>5.8</v>
      </c>
      <c r="I6" s="41">
        <f>'Tổng hợp điểm'!I9</f>
        <v>4.8</v>
      </c>
      <c r="J6" s="41">
        <f>'Tổng hợp điểm'!J9</f>
        <v>5.8</v>
      </c>
      <c r="K6" s="41" t="str">
        <f>'Tổng hợp điểm'!K9</f>
        <v>C</v>
      </c>
    </row>
    <row r="7" spans="1:11" x14ac:dyDescent="0.25">
      <c r="A7" s="13">
        <v>4</v>
      </c>
      <c r="B7" s="23" t="str">
        <f>'Tổng hợp điểm'!B10</f>
        <v>0B1509929</v>
      </c>
      <c r="C7" s="23" t="str">
        <f>'Tổng hợp điểm'!C10</f>
        <v>Đặng Duy Linh</v>
      </c>
      <c r="D7" s="41">
        <f>'Tổng hợp điểm'!D10</f>
        <v>0.4</v>
      </c>
      <c r="E7" s="41">
        <f>'Tổng hợp điểm'!E10</f>
        <v>0.25</v>
      </c>
      <c r="F7" s="41">
        <f>'Tổng hợp điểm'!F10</f>
        <v>0.35</v>
      </c>
      <c r="G7" s="41">
        <f>'Tổng hợp điểm'!G10</f>
        <v>1</v>
      </c>
      <c r="H7" s="41">
        <f>'Tổng hợp điểm'!H10</f>
        <v>4.5</v>
      </c>
      <c r="I7" s="41">
        <f>'Tổng hợp điểm'!I10</f>
        <v>4.7</v>
      </c>
      <c r="J7" s="41">
        <f>'Tổng hợp điểm'!J10</f>
        <v>5.7</v>
      </c>
      <c r="K7" s="41" t="str">
        <f>'Tổng hợp điểm'!K10</f>
        <v>C</v>
      </c>
    </row>
    <row r="8" spans="1:11" x14ac:dyDescent="0.25">
      <c r="A8" s="13">
        <v>5</v>
      </c>
      <c r="B8" s="23" t="str">
        <f>'Tổng hợp điểm'!B11</f>
        <v>2B1605223</v>
      </c>
      <c r="C8" s="23" t="str">
        <f>'Tổng hợp điểm'!C11</f>
        <v>Lê Thị Trúc Linh</v>
      </c>
      <c r="D8" s="41">
        <f>'Tổng hợp điểm'!D11</f>
        <v>0.45</v>
      </c>
      <c r="E8" s="41">
        <f>'Tổng hợp điểm'!E11</f>
        <v>0.4</v>
      </c>
      <c r="F8" s="41">
        <f>'Tổng hợp điểm'!F11</f>
        <v>0.35</v>
      </c>
      <c r="G8" s="41">
        <f>'Tổng hợp điểm'!G11</f>
        <v>0.75</v>
      </c>
      <c r="H8" s="41">
        <f>'Tổng hợp điểm'!H11</f>
        <v>5.5</v>
      </c>
      <c r="I8" s="41">
        <f>'Tổng hợp điểm'!I11</f>
        <v>5.3</v>
      </c>
      <c r="J8" s="41">
        <f>'Tổng hợp điểm'!J11</f>
        <v>5.6</v>
      </c>
      <c r="K8" s="41" t="str">
        <f>'Tổng hợp điểm'!K11</f>
        <v>C</v>
      </c>
    </row>
    <row r="9" spans="1:11" x14ac:dyDescent="0.25">
      <c r="A9" s="13">
        <v>6</v>
      </c>
      <c r="B9" s="23" t="str">
        <f>'Tổng hợp điểm'!B15</f>
        <v>0B1605291</v>
      </c>
      <c r="C9" s="23" t="str">
        <f>'Tổng hợp điểm'!C15</f>
        <v>Trần Thanh Nguyên</v>
      </c>
      <c r="D9" s="41">
        <f>'Tổng hợp điểm'!D15</f>
        <v>0.45</v>
      </c>
      <c r="E9" s="41">
        <f>'Tổng hợp điểm'!E15</f>
        <v>0.4</v>
      </c>
      <c r="F9" s="41">
        <f>'Tổng hợp điểm'!F15</f>
        <v>0.4</v>
      </c>
      <c r="G9" s="41">
        <f>'Tổng hợp điểm'!G15</f>
        <v>0.75</v>
      </c>
      <c r="H9" s="41">
        <f>'Tổng hợp điểm'!H15</f>
        <v>6.3</v>
      </c>
      <c r="I9" s="41">
        <f>'Tổng hợp điểm'!I15</f>
        <v>5.8</v>
      </c>
      <c r="J9" s="41">
        <f>'Tổng hợp điểm'!J15</f>
        <v>6.8</v>
      </c>
      <c r="K9" s="41" t="str">
        <f>'Tổng hợp điểm'!K15</f>
        <v>C+</v>
      </c>
    </row>
    <row r="10" spans="1:11" x14ac:dyDescent="0.25">
      <c r="A10" s="13">
        <v>7</v>
      </c>
      <c r="B10" s="23" t="str">
        <f>'Tổng hợp điểm'!B17</f>
        <v>4B1607025</v>
      </c>
      <c r="C10" s="23" t="str">
        <f>'Tổng hợp điểm'!C17</f>
        <v>Nguyễn Chí Thanh</v>
      </c>
      <c r="D10" s="41">
        <f>'Tổng hợp điểm'!D17</f>
        <v>0.4</v>
      </c>
      <c r="E10" s="41">
        <f>'Tổng hợp điểm'!E17</f>
        <v>0.45</v>
      </c>
      <c r="F10" s="41">
        <f>'Tổng hợp điểm'!F17</f>
        <v>0.4</v>
      </c>
      <c r="G10" s="41">
        <f>'Tổng hợp điểm'!G17</f>
        <v>0.3</v>
      </c>
      <c r="H10" s="41">
        <f>'Tổng hợp điểm'!H17</f>
        <v>-3</v>
      </c>
      <c r="I10" s="41">
        <f>'Tổng hợp điểm'!I17</f>
        <v>0</v>
      </c>
      <c r="J10" s="41">
        <f>'Tổng hợp điểm'!J17</f>
        <v>0</v>
      </c>
      <c r="K10" s="41" t="str">
        <f>'Tổng hợp điểm'!K17</f>
        <v>F</v>
      </c>
    </row>
    <row r="11" spans="1:11" x14ac:dyDescent="0.25">
      <c r="A11" s="13">
        <v>8</v>
      </c>
      <c r="B11" s="23" t="str">
        <f>'Tổng hợp điểm'!B19</f>
        <v>5B1609765</v>
      </c>
      <c r="C11" s="23" t="str">
        <f>'Tổng hợp điểm'!C19</f>
        <v>Trần Nam Dương</v>
      </c>
      <c r="D11" s="41">
        <f>'Tổng hợp điểm'!D19</f>
        <v>0.4</v>
      </c>
      <c r="E11" s="41">
        <f>'Tổng hợp điểm'!E19</f>
        <v>0.4</v>
      </c>
      <c r="F11" s="41">
        <f>'Tổng hợp điểm'!F19</f>
        <v>0.35</v>
      </c>
      <c r="G11" s="41">
        <f>'Tổng hợp điểm'!G19</f>
        <v>1.35</v>
      </c>
      <c r="H11" s="41">
        <f>'Tổng hợp điểm'!H19</f>
        <v>-3</v>
      </c>
      <c r="I11" s="41">
        <f>'Tổng hợp điểm'!I19</f>
        <v>0</v>
      </c>
      <c r="J11" s="41">
        <f>'Tổng hợp điểm'!J19</f>
        <v>0</v>
      </c>
      <c r="K11" s="41" t="str">
        <f>'Tổng hợp điểm'!K19</f>
        <v>F</v>
      </c>
    </row>
    <row r="12" spans="1:11" x14ac:dyDescent="0.25">
      <c r="A12" s="13">
        <v>9</v>
      </c>
      <c r="B12" s="23" t="str">
        <f>'Tổng hợp điểm'!B20</f>
        <v>0B1609773</v>
      </c>
      <c r="C12" s="23" t="str">
        <f>'Tổng hợp điểm'!C20</f>
        <v>Nguyễn Duy Khanh</v>
      </c>
      <c r="D12" s="41">
        <f>'Tổng hợp điểm'!D20</f>
        <v>0.35</v>
      </c>
      <c r="E12" s="41">
        <f>'Tổng hợp điểm'!E20</f>
        <v>0.4</v>
      </c>
      <c r="F12" s="41">
        <f>'Tổng hợp điểm'!F20</f>
        <v>0</v>
      </c>
      <c r="G12" s="41">
        <f>'Tổng hợp điểm'!G20</f>
        <v>0.85</v>
      </c>
      <c r="H12" s="41">
        <f>'Tổng hợp điểm'!H20</f>
        <v>6.5</v>
      </c>
      <c r="I12" s="41">
        <f>'Tổng hợp điểm'!I20</f>
        <v>5.5</v>
      </c>
      <c r="J12" s="41">
        <f>'Tổng hợp điểm'!J20</f>
        <v>6.5</v>
      </c>
      <c r="K12" s="41" t="str">
        <f>'Tổng hợp điểm'!K20</f>
        <v>C+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H11" sqref="H11"/>
    </sheetView>
  </sheetViews>
  <sheetFormatPr defaultRowHeight="15" x14ac:dyDescent="0.25"/>
  <cols>
    <col min="1" max="1" width="19" customWidth="1"/>
    <col min="2" max="2" width="19.28515625" customWidth="1"/>
    <col min="3" max="3" width="18.7109375" customWidth="1"/>
    <col min="4" max="4" width="12.28515625" customWidth="1"/>
    <col min="5" max="5" width="15.28515625" customWidth="1"/>
    <col min="6" max="6" width="17.5703125" customWidth="1"/>
    <col min="7" max="7" width="12.85546875" customWidth="1"/>
    <col min="8" max="8" width="14.28515625" customWidth="1"/>
    <col min="9" max="9" width="15.28515625" customWidth="1"/>
    <col min="10" max="10" width="26" customWidth="1"/>
    <col min="11" max="11" width="23" customWidth="1"/>
  </cols>
  <sheetData>
    <row r="1" spans="1:11" ht="18.75" x14ac:dyDescent="0.3">
      <c r="A1" s="43" t="s">
        <v>92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8.5" x14ac:dyDescent="0.25">
      <c r="A3" s="40" t="s">
        <v>13</v>
      </c>
      <c r="B3" s="40" t="s">
        <v>14</v>
      </c>
      <c r="C3" s="40" t="s">
        <v>15</v>
      </c>
      <c r="D3" s="40" t="s">
        <v>16</v>
      </c>
      <c r="E3" s="40" t="s">
        <v>17</v>
      </c>
      <c r="F3" s="40" t="s">
        <v>18</v>
      </c>
      <c r="G3" s="40" t="s">
        <v>19</v>
      </c>
      <c r="H3" s="40" t="s">
        <v>20</v>
      </c>
      <c r="I3" s="40" t="s">
        <v>21</v>
      </c>
      <c r="J3" s="40" t="s">
        <v>22</v>
      </c>
      <c r="K3" s="40" t="s">
        <v>23</v>
      </c>
    </row>
    <row r="4" spans="1:11" x14ac:dyDescent="0.25">
      <c r="A4" s="13">
        <v>1</v>
      </c>
      <c r="B4" s="23" t="str">
        <f>'Tổng hợp điểm'!B12</f>
        <v>0B1605235</v>
      </c>
      <c r="C4" s="23" t="str">
        <f>'Tổng hợp điểm'!C12</f>
        <v>Phạm Thị Huỳnh</v>
      </c>
      <c r="D4" s="41">
        <f>'Tổng hợp điểm'!D12</f>
        <v>0.4</v>
      </c>
      <c r="E4" s="41">
        <f>'Tổng hợp điểm'!E12</f>
        <v>0.45</v>
      </c>
      <c r="F4" s="41">
        <f>'Tổng hợp điểm'!F12</f>
        <v>0.5</v>
      </c>
      <c r="G4" s="41">
        <f>'Tổng hợp điểm'!G12</f>
        <v>1.2</v>
      </c>
      <c r="H4" s="41">
        <f>'Tổng hợp điểm'!H12</f>
        <v>7.5</v>
      </c>
      <c r="I4" s="41">
        <f>'Tổng hợp điểm'!I12</f>
        <v>7.1</v>
      </c>
      <c r="J4" s="41">
        <f>'Tổng hợp điểm'!J12</f>
        <v>8.1</v>
      </c>
      <c r="K4" s="41" t="str">
        <f>'Tổng hợp điểm'!K12</f>
        <v>B+</v>
      </c>
    </row>
    <row r="5" spans="1:11" x14ac:dyDescent="0.25">
      <c r="A5" s="13">
        <v>2</v>
      </c>
      <c r="B5" s="23" t="str">
        <f>'Tổng hợp điểm'!B13</f>
        <v>0B1605249</v>
      </c>
      <c r="C5" s="23" t="str">
        <f>'Tổng hợp điểm'!C13</f>
        <v>Lê Minh Thông</v>
      </c>
      <c r="D5" s="41">
        <f>'Tổng hợp điểm'!D13</f>
        <v>0.4</v>
      </c>
      <c r="E5" s="41">
        <f>'Tổng hợp điểm'!E13</f>
        <v>0.4</v>
      </c>
      <c r="F5" s="41">
        <f>'Tổng hợp điểm'!F13</f>
        <v>0.4</v>
      </c>
      <c r="G5" s="41">
        <f>'Tổng hợp điểm'!G13</f>
        <v>1</v>
      </c>
      <c r="H5" s="41">
        <f>'Tổng hợp điểm'!H13</f>
        <v>5.3</v>
      </c>
      <c r="I5" s="41">
        <f>'Tổng hợp điểm'!I13</f>
        <v>5.4</v>
      </c>
      <c r="J5" s="41">
        <f>'Tổng hợp điểm'!J13</f>
        <v>6.4</v>
      </c>
      <c r="K5" s="41" t="str">
        <f>'Tổng hợp điểm'!K13</f>
        <v>C</v>
      </c>
    </row>
    <row r="6" spans="1:11" x14ac:dyDescent="0.25">
      <c r="A6" s="13">
        <v>3</v>
      </c>
      <c r="B6" s="23" t="str">
        <f>'Tổng hợp điểm'!B14</f>
        <v>0B1605285</v>
      </c>
      <c r="C6" s="23" t="str">
        <f>'Tổng hợp điểm'!C14</f>
        <v>Huỳnh Thị Diễm</v>
      </c>
      <c r="D6" s="41">
        <f>'Tổng hợp điểm'!D14</f>
        <v>0.45</v>
      </c>
      <c r="E6" s="41">
        <f>'Tổng hợp điểm'!E14</f>
        <v>0.4</v>
      </c>
      <c r="F6" s="41">
        <f>'Tổng hợp điểm'!F14</f>
        <v>0.45</v>
      </c>
      <c r="G6" s="41">
        <f>'Tổng hợp điểm'!G14</f>
        <v>0</v>
      </c>
      <c r="H6" s="41">
        <f>'Tổng hợp điểm'!H14</f>
        <v>6.8</v>
      </c>
      <c r="I6" s="41">
        <f>'Tổng hợp điểm'!I14</f>
        <v>5.4</v>
      </c>
      <c r="J6" s="41">
        <f>'Tổng hợp điểm'!J14</f>
        <v>0</v>
      </c>
      <c r="K6" s="41" t="str">
        <f>'Tổng hợp điểm'!K14</f>
        <v>F</v>
      </c>
    </row>
    <row r="7" spans="1:11" x14ac:dyDescent="0.25">
      <c r="A7" s="13">
        <v>4</v>
      </c>
      <c r="B7" s="23" t="str">
        <f>'Tổng hợp điểm'!B16</f>
        <v>1B1605344</v>
      </c>
      <c r="C7" s="23" t="str">
        <f>'Tổng hợp điểm'!C16</f>
        <v>Nguyễn Thị Đào</v>
      </c>
      <c r="D7" s="41">
        <f>'Tổng hợp điểm'!D16</f>
        <v>0.3</v>
      </c>
      <c r="E7" s="41">
        <f>'Tổng hợp điểm'!E16</f>
        <v>0.5</v>
      </c>
      <c r="F7" s="41">
        <f>'Tổng hợp điểm'!F16</f>
        <v>0.45</v>
      </c>
      <c r="G7" s="41">
        <f>'Tổng hợp điểm'!G16</f>
        <v>0.3</v>
      </c>
      <c r="H7" s="41">
        <f>'Tổng hợp điểm'!H16</f>
        <v>8.3000000000000007</v>
      </c>
      <c r="I7" s="41">
        <f>'Tổng hợp điểm'!I16</f>
        <v>6.5</v>
      </c>
      <c r="J7" s="41">
        <f>'Tổng hợp điểm'!J16</f>
        <v>7</v>
      </c>
      <c r="K7" s="41" t="str">
        <f>'Tổng hợp điểm'!K16</f>
        <v>B</v>
      </c>
    </row>
    <row r="8" spans="1:11" x14ac:dyDescent="0.25">
      <c r="A8" s="13">
        <v>5</v>
      </c>
      <c r="B8" s="23" t="str">
        <f>'Tổng hợp điểm'!B18</f>
        <v>2B1609759</v>
      </c>
      <c r="C8" s="23" t="str">
        <f>'Tổng hợp điểm'!C18</f>
        <v>Nguyễn Hải Anh</v>
      </c>
      <c r="D8" s="41">
        <f>'Tổng hợp điểm'!D18</f>
        <v>0.5</v>
      </c>
      <c r="E8" s="41">
        <f>'Tổng hợp điểm'!E18</f>
        <v>0.5</v>
      </c>
      <c r="F8" s="41">
        <f>'Tổng hợp điểm'!F18</f>
        <v>0.45</v>
      </c>
      <c r="G8" s="41">
        <f>'Tổng hợp điểm'!G18</f>
        <v>1.5</v>
      </c>
      <c r="H8" s="41">
        <f>'Tổng hợp điểm'!H18</f>
        <v>7</v>
      </c>
      <c r="I8" s="41">
        <f>'Tổng hợp điểm'!I18</f>
        <v>7.2</v>
      </c>
      <c r="J8" s="41">
        <f>'Tổng hợp điểm'!J18</f>
        <v>7.5</v>
      </c>
      <c r="K8" s="41" t="str">
        <f>'Tổng hợp điểm'!K18</f>
        <v>B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2026-10-02T01:36:47Z</dcterms:created>
  <dcterms:modified xsi:type="dcterms:W3CDTF">2026-10-02T02:17:42Z</dcterms:modified>
</cp:coreProperties>
</file>